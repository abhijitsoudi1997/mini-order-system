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y-by-Day Plan" sheetId="1" state="visible" r:id="rId3"/>
    <sheet name="Requirements" sheetId="2" state="visible" r:id="rId4"/>
    <sheet name="Data Model" sheetId="3" state="visible" r:id="rId5"/>
    <sheet name="API Endpoints" sheetId="4" state="visible" r:id="rId6"/>
    <sheet name="Tech Stack" sheetId="5" state="visible" r:id="rId7"/>
    <sheet name="Progress" sheetId="6" state="visible" r:id="rId8"/>
    <sheet name="Courses" sheetId="7" state="visible" r:id="rId9"/>
    <sheet name="Course Mapping" sheetId="8" state="visible" r:id="rId10"/>
    <sheet name="Interview Topic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<sst xmlns="http://schemas.openxmlformats.org/spreadsheetml/2006/main" count="1513" uniqueCount="954">
  <si>
    <t xml:space="preserve">Spring Boot + Microservices: 28-Day Plan (Mini Order System)</t>
  </si>
  <si>
    <t xml:space="preserve">Start date (edit):</t>
  </si>
  <si>
    <t xml:space="preserve">Assumption: start date is an example; change C2 and all dates update. Hours are suggested: 2 on weekdays, 3 on review days.</t>
  </si>
  <si>
    <t xml:space="preserve">Day</t>
  </si>
  <si>
    <t xml:space="preserve">Week</t>
  </si>
  <si>
    <t xml:space="preserve">Date</t>
  </si>
  <si>
    <t xml:space="preserve">Topic</t>
  </si>
  <si>
    <t xml:space="preserve">What to do</t>
  </si>
  <si>
    <t xml:space="preserve">Resources</t>
  </si>
  <si>
    <t xml:space="preserve">Deliverable (proof of work)</t>
  </si>
  <si>
    <t xml:space="preserve">Hours</t>
  </si>
  <si>
    <t xml:space="preserve">Status</t>
  </si>
  <si>
    <t xml:space="preserve">Notes</t>
  </si>
  <si>
    <t xml:space="preserve">Setup + Hello World</t>
  </si>
  <si>
    <t xml:space="preserve">Install JDK 17/21, IntelliJ (or Eclipse), Maven, Git, Postman, MySQL. Generate a project at start.spring.io (Web, JPA, MySQL, H2, Lombok, Validation, Actuator). Run it and hit a /hello endpoint.</t>
  </si>
  <si>
    <t xml:space="preserve">spring.io guide: Building a RESTful Web Service; course intro sections</t>
  </si>
  <si>
    <t xml:space="preserve">Hello-world app running + pushed to GitHub</t>
  </si>
  <si>
    <t xml:space="preserve">Done</t>
  </si>
  <si>
    <t xml:space="preserve">Java refresher</t>
  </si>
  <si>
    <t xml:space="preserve">Revise lambdas, streams, Optional, records, collections (HashMap/List), exceptions. Solve 5 small stream problems.</t>
  </si>
  <si>
    <t xml:space="preserve">Java Brains / Telusko Java 8 playlists; Baeldung Java 8 articles</t>
  </si>
  <si>
    <t xml:space="preserve">5 stream exercises in a practice repo</t>
  </si>
  <si>
    <t xml:space="preserve">Not started</t>
  </si>
  <si>
    <t xml:space="preserve">Spring core: IoC and DI</t>
  </si>
  <si>
    <t xml:space="preserve">Understand IoC container, beans, @Component/@Service/@Repository, constructor vs field injection, @Configuration/@Bean.</t>
  </si>
  <si>
    <t xml:space="preserve">Course: Spring Core section; Baeldung 'Spring DI'</t>
  </si>
  <si>
    <t xml:space="preserve">Small demo: 3 beans wired via constructor injection</t>
  </si>
  <si>
    <t xml:space="preserve">REST controllers</t>
  </si>
  <si>
    <t xml:space="preserve">@RestController, @GetMapping/@PostMapping, @PathVariable, @RequestParam, @RequestBody, ResponseEntity, JSON mapping.</t>
  </si>
  <si>
    <t xml:space="preserve">Course: REST section; spring.io REST guide</t>
  </si>
  <si>
    <t xml:space="preserve">Product endpoints returning dummy JSON</t>
  </si>
  <si>
    <t xml:space="preserve">Inventory Service v1 (in-memory)</t>
  </si>
  <si>
    <t xml:space="preserve">Build Product model + CRUD using an in-memory list. Layer it: Controller -&gt; Service. Test every endpoint in Postman.</t>
  </si>
  <si>
    <t xml:space="preserve">Your own code + Postman</t>
  </si>
  <si>
    <t xml:space="preserve">Working CRUD API (no DB yet)</t>
  </si>
  <si>
    <t xml:space="preserve">Config, profiles, logging, Actuator</t>
  </si>
  <si>
    <t xml:space="preserve">application.yml, @Value, profiles (dev/prod), SLF4J logging, Actuator /health and /info.</t>
  </si>
  <si>
    <t xml:space="preserve">Course: Boot config section; Baeldung Spring Profiles</t>
  </si>
  <si>
    <t xml:space="preserve">Dev and prod profiles, health endpoint working</t>
  </si>
  <si>
    <t xml:space="preserve">Week 1 review and catch-up</t>
  </si>
  <si>
    <t xml:space="preserve">Revisit weak topics. Write README for Inventory Service. Push code. Quiz yourself: what is DI? what does @SpringBootApplication do?</t>
  </si>
  <si>
    <t xml:space="preserve">GitHub; notes</t>
  </si>
  <si>
    <t xml:space="preserve">Week 1 code on GitHub with README</t>
  </si>
  <si>
    <t xml:space="preserve">JPA basics with H2</t>
  </si>
  <si>
    <t xml:space="preserve">Entities, @Id, @GeneratedValue, JpaRepository, derived query methods. Replace the in-memory list with H2.</t>
  </si>
  <si>
    <t xml:space="preserve">Course: Spring Data JPA section; Baeldung JPA intro</t>
  </si>
  <si>
    <t xml:space="preserve">Inventory CRUD backed by H2</t>
  </si>
  <si>
    <t xml:space="preserve">Move to MySQL</t>
  </si>
  <si>
    <t xml:space="preserve">Create schema in MySQL, configure datasource, ddl-auto, check tables via SQL Developer/Workbench. Add custom query using @Query.</t>
  </si>
  <si>
    <t xml:space="preserve">MySQL docs; course JPA section</t>
  </si>
  <si>
    <t xml:space="preserve">Inventory service on MySQL</t>
  </si>
  <si>
    <t xml:space="preserve">DTOs and layered architecture</t>
  </si>
  <si>
    <t xml:space="preserve">Separate Entity and DTO, add mapper (manual or MapStruct), keep controller thin, service holds logic.</t>
  </si>
  <si>
    <t xml:space="preserve">Baeldung 'Entity to DTO'; course</t>
  </si>
  <si>
    <t xml:space="preserve">DTO layer implemented</t>
  </si>
  <si>
    <t xml:space="preserve">Validation</t>
  </si>
  <si>
    <t xml:space="preserve">@Valid, @NotNull, @Min, @NotBlank, custom validation message, validation on request DTOs.</t>
  </si>
  <si>
    <t xml:space="preserve">Baeldung Spring Validation</t>
  </si>
  <si>
    <t xml:space="preserve">Invalid requests return clear 400 errors</t>
  </si>
  <si>
    <t xml:space="preserve">Global exception handling</t>
  </si>
  <si>
    <t xml:space="preserve">@ControllerAdvice, @ExceptionHandler, custom ResourceNotFoundException, standard error JSON, correct HTTP codes.</t>
  </si>
  <si>
    <t xml:space="preserve">Baeldung Error Handling for REST</t>
  </si>
  <si>
    <t xml:space="preserve">Consistent error responses</t>
  </si>
  <si>
    <t xml:space="preserve">Testing</t>
  </si>
  <si>
    <t xml:space="preserve">JUnit 5 + Mockito for service layer; @WebMvcTest for controller; one @SpringBootTest.</t>
  </si>
  <si>
    <t xml:space="preserve">Baeldung Mockito / Spring Boot testing</t>
  </si>
  <si>
    <t xml:space="preserve">At least 6 passing tests</t>
  </si>
  <si>
    <t xml:space="preserve">Week 2 review + Swagger</t>
  </si>
  <si>
    <t xml:space="preserve">Add springdoc-openapi (Swagger UI). Clean code, update README, push. Revise JPA relationships (@OneToMany) conceptually.</t>
  </si>
  <si>
    <t xml:space="preserve">springdoc docs</t>
  </si>
  <si>
    <t xml:space="preserve">Inventory Service complete with Swagger docs</t>
  </si>
  <si>
    <t xml:space="preserve">Microservices concepts</t>
  </si>
  <si>
    <t xml:space="preserve">Monolith vs microservices, service boundaries, DB per service, sync vs async, API gateway, eventual consistency. Map to Sterling: agents/events/APIs vs services/events.</t>
  </si>
  <si>
    <t xml:space="preserve">Course: Microservices intro; Microservices.io (Chris Richardson) patterns</t>
  </si>
  <si>
    <t xml:space="preserve">One-page notes in your own words</t>
  </si>
  <si>
    <t xml:space="preserve">Order Service skeleton</t>
  </si>
  <si>
    <t xml:space="preserve">New Spring Boot project (port 8082) with its own database. Entities: Order, OrderLine. Repository + basic CRUD.</t>
  </si>
  <si>
    <t xml:space="preserve">Your Inventory Service as a template</t>
  </si>
  <si>
    <t xml:space="preserve">Order Service running on its own DB</t>
  </si>
  <si>
    <t xml:space="preserve">Create Order API</t>
  </si>
  <si>
    <t xml:space="preserve">POST /orders with order lines, DTOs, validation, order status (CREATED/CONFIRMED/FAILED). Think like OMS order lifecycle.</t>
  </si>
  <si>
    <t xml:space="preserve">Your OMS knowledge + course</t>
  </si>
  <si>
    <t xml:space="preserve">Order creation working (no inventory check yet)</t>
  </si>
  <si>
    <t xml:space="preserve">Service-to-service call</t>
  </si>
  <si>
    <t xml:space="preserve">Call Inventory Service from Order Service to check stock using RestClient, WebClient or OpenFeign. Handle 404/out-of-stock.</t>
  </si>
  <si>
    <t xml:space="preserve">Course: inter-service communication; Baeldung OpenFeign</t>
  </si>
  <si>
    <t xml:space="preserve">Order checks stock live from Inventory</t>
  </si>
  <si>
    <t xml:space="preserve">Reserve stock + consistency</t>
  </si>
  <si>
    <t xml:space="preserve">Reduce/reserve stock when order is confirmed. Discuss failure cases: what if order saves but stock call fails? Add simple compensation.</t>
  </si>
  <si>
    <t xml:space="preserve">Microservices.io Saga pattern (read only the basics)</t>
  </si>
  <si>
    <t xml:space="preserve">Stock reserved on order; failure case handled</t>
  </si>
  <si>
    <t xml:space="preserve">Resilience4j</t>
  </si>
  <si>
    <t xml:space="preserve">Add timeout, retry and circuit breaker on the Inventory call. Simulate Inventory being down and observe the fallback.</t>
  </si>
  <si>
    <t xml:space="preserve">Resilience4j docs; course Spring Cloud section</t>
  </si>
  <si>
    <t xml:space="preserve">Circuit breaker demo working</t>
  </si>
  <si>
    <t xml:space="preserve">Week 3 review + integration test</t>
  </si>
  <si>
    <t xml:space="preserve">Postman collection for the end-to-end flow. Add integration test or Postman tests. Update README and push.</t>
  </si>
  <si>
    <t xml:space="preserve">Postman collections</t>
  </si>
  <si>
    <t xml:space="preserve">End-to-end flow documented</t>
  </si>
  <si>
    <t xml:space="preserve">Service discovery (Eureka)</t>
  </si>
  <si>
    <t xml:space="preserve">Create a Eureka Naming Server and register Inventory and Order services. Call Inventory from Order by service name instead of a fixed URL. Run two Inventory instances on different ports and see load balancing. Understand why discovery is needed.</t>
  </si>
  <si>
    <t xml:space="preserve">Course 2 lectures 117-120, 123 (Eureka, load balancing); see Course Mapping</t>
  </si>
  <si>
    <t xml:space="preserve">Both services registered in Eureka; Order calls Inventory by name</t>
  </si>
  <si>
    <t xml:space="preserve">API Gateway</t>
  </si>
  <si>
    <t xml:space="preserve">Spring Cloud Gateway: route /inventory/** and /orders/** through a single port using the Eureka discovery locator. Add a simple logging filter.</t>
  </si>
  <si>
    <t xml:space="preserve">Course 2 lectures 124-130 (Spring Cloud API Gateway); see Course Mapping</t>
  </si>
  <si>
    <t xml:space="preserve">Both services reachable through the gateway</t>
  </si>
  <si>
    <t xml:space="preserve">Security basics</t>
  </si>
  <si>
    <t xml:space="preserve">Spring Security with JWT or basic auth on the gateway or Order Service. Understand authentication vs authorization.</t>
  </si>
  <si>
    <t xml:space="preserve">Spring Academy; Baeldung Spring Security + JWT</t>
  </si>
  <si>
    <t xml:space="preserve">Secured endpoint with token</t>
  </si>
  <si>
    <t xml:space="preserve">Dockerize services</t>
  </si>
  <si>
    <t xml:space="preserve">Write Dockerfile for each service (multi-stage build optional). Build and run containers locally.</t>
  </si>
  <si>
    <t xml:space="preserve">Docker docs; course Docker section</t>
  </si>
  <si>
    <t xml:space="preserve">Docker images for all services</t>
  </si>
  <si>
    <t xml:space="preserve">Docker Compose</t>
  </si>
  <si>
    <t xml:space="preserve">docker-compose.yml: MySQL, Inventory, Order (and gateway). One command to start the whole system.</t>
  </si>
  <si>
    <t xml:space="preserve">Docker Compose docs</t>
  </si>
  <si>
    <t xml:space="preserve">docker compose up runs everything</t>
  </si>
  <si>
    <t xml:space="preserve">Async event (optional stretch)</t>
  </si>
  <si>
    <t xml:space="preserve">Publish an 'order created' event using Kafka or RabbitMQ and consume it in a small Notification Service (like OMS email events). Skip if short on time and polish instead.</t>
  </si>
  <si>
    <t xml:space="preserve">Spring for Kafka / Spring AMQP guides</t>
  </si>
  <si>
    <t xml:space="preserve">Event published and consumed</t>
  </si>
  <si>
    <t xml:space="preserve">Polish, resume and interview prep</t>
  </si>
  <si>
    <t xml:space="preserve">Clean README, architecture diagram, screenshots. Add project and skills to resume and LinkedIn. Practise a 2-minute project explanation and the Interview Topics sheet.</t>
  </si>
  <si>
    <t xml:space="preserve">GitHub; this workbook</t>
  </si>
  <si>
    <t xml:space="preserve">Public repo + updated resume</t>
  </si>
  <si>
    <t xml:space="preserve">Project Requirements: Mini Order Management System</t>
  </si>
  <si>
    <t xml:space="preserve">Goal: two Spring Boot microservices (Inventory + Order) behind an API Gateway, each with its own database. Priority: Must = needed for a working demo, Should = adds interview value, Could = stretch.</t>
  </si>
  <si>
    <t xml:space="preserve">Total requirements</t>
  </si>
  <si>
    <t xml:space="preserve">Must-haves done</t>
  </si>
  <si>
    <t xml:space="preserve">ID</t>
  </si>
  <si>
    <t xml:space="preserve">Type</t>
  </si>
  <si>
    <t xml:space="preserve">Requirement</t>
  </si>
  <si>
    <t xml:space="preserve">Service</t>
  </si>
  <si>
    <t xml:space="preserve">Priority</t>
  </si>
  <si>
    <t xml:space="preserve">Build on Day</t>
  </si>
  <si>
    <t xml:space="preserve">FR-01</t>
  </si>
  <si>
    <t xml:space="preserve">Functional</t>
  </si>
  <si>
    <t xml:space="preserve">Add a product (SKU, name, price, quantity) with a unique SKU</t>
  </si>
  <si>
    <t xml:space="preserve">Inventory</t>
  </si>
  <si>
    <t xml:space="preserve">Must</t>
  </si>
  <si>
    <t xml:space="preserve">FR-02</t>
  </si>
  <si>
    <t xml:space="preserve">View a product by id and by SKU</t>
  </si>
  <si>
    <t xml:space="preserve">FR-03</t>
  </si>
  <si>
    <t xml:space="preserve">List all products with pagination (page, size) and optional category filter</t>
  </si>
  <si>
    <t xml:space="preserve">Should</t>
  </si>
  <si>
    <t xml:space="preserve">FR-04</t>
  </si>
  <si>
    <t xml:space="preserve">Update product details and stock quantity</t>
  </si>
  <si>
    <t xml:space="preserve">FR-05</t>
  </si>
  <si>
    <t xml:space="preserve">Delete a product (prefer soft delete using an 'active' flag)</t>
  </si>
  <si>
    <t xml:space="preserve">FR-06</t>
  </si>
  <si>
    <t xml:space="preserve">Check availability: given SKU and quantity, return whether enough stock exists</t>
  </si>
  <si>
    <t xml:space="preserve">FR-07</t>
  </si>
  <si>
    <t xml:space="preserve">Reserve/deduct stock for an order; reject if stock is insufficient (no negative stock)</t>
  </si>
  <si>
    <t xml:space="preserve">FR-08</t>
  </si>
  <si>
    <t xml:space="preserve">Release/restore stock when an order is cancelled or fails</t>
  </si>
  <si>
    <t xml:space="preserve">FR-09</t>
  </si>
  <si>
    <t xml:space="preserve">Create an order with customer details, shipping address and one or more order lines</t>
  </si>
  <si>
    <t xml:space="preserve">Order</t>
  </si>
  <si>
    <t xml:space="preserve">FR-10</t>
  </si>
  <si>
    <t xml:space="preserve">Validate order input: customer name/email, at least one line, quantity &gt; 0</t>
  </si>
  <si>
    <t xml:space="preserve">FR-11</t>
  </si>
  <si>
    <t xml:space="preserve">Before confirming, call Inventory Service to check and reserve stock for every line</t>
  </si>
  <si>
    <t xml:space="preserve">FR-12</t>
  </si>
  <si>
    <t xml:space="preserve">Maintain order status: CREATED, CONFIRMED, FAILED, CANCELLED (like an OMS order lifecycle)</t>
  </si>
  <si>
    <t xml:space="preserve">FR-13</t>
  </si>
  <si>
    <t xml:space="preserve">Calculate line totals and order total from unit price x quantity</t>
  </si>
  <si>
    <t xml:space="preserve">FR-14</t>
  </si>
  <si>
    <t xml:space="preserve">Get an order by id / order number</t>
  </si>
  <si>
    <t xml:space="preserve">FR-15</t>
  </si>
  <si>
    <t xml:space="preserve">List orders for a customer (by customer email or id)</t>
  </si>
  <si>
    <t xml:space="preserve">FR-16</t>
  </si>
  <si>
    <t xml:space="preserve">Cancel an order (only if CREATED or CONFIRMED) and release its stock</t>
  </si>
  <si>
    <t xml:space="preserve">FR-17</t>
  </si>
  <si>
    <t xml:space="preserve">Route all calls through one API Gateway port (/inventory/** and /orders/**)</t>
  </si>
  <si>
    <t xml:space="preserve">Gateway</t>
  </si>
  <si>
    <t xml:space="preserve">FR-18</t>
  </si>
  <si>
    <t xml:space="preserve">Protect endpoints with JWT/basic authentication; public login endpoint</t>
  </si>
  <si>
    <t xml:space="preserve">Gateway/Order</t>
  </si>
  <si>
    <t xml:space="preserve">Could</t>
  </si>
  <si>
    <t xml:space="preserve">FR-19</t>
  </si>
  <si>
    <t xml:space="preserve">Publish an 'OrderCreated' event; Notification Service logs/sends an email (like OMS email events)</t>
  </si>
  <si>
    <t xml:space="preserve">Order/Notification</t>
  </si>
  <si>
    <t xml:space="preserve">NFR-01</t>
  </si>
  <si>
    <t xml:space="preserve">Non-functional</t>
  </si>
  <si>
    <t xml:space="preserve">Each service has its own database and no shared tables</t>
  </si>
  <si>
    <t xml:space="preserve">All</t>
  </si>
  <si>
    <t xml:space="preserve">NFR-02</t>
  </si>
  <si>
    <t xml:space="preserve">Layered code: Controller -&gt; Service -&gt; Repository, DTOs separate from entities</t>
  </si>
  <si>
    <t xml:space="preserve">NFR-03</t>
  </si>
  <si>
    <t xml:space="preserve">Input validation with @Valid; invalid requests return 400 with clear messages</t>
  </si>
  <si>
    <t xml:space="preserve">NFR-04</t>
  </si>
  <si>
    <t xml:space="preserve">Global exception handling returns a consistent JSON error (timestamp, status, message, path)</t>
  </si>
  <si>
    <t xml:space="preserve">NFR-05</t>
  </si>
  <si>
    <t xml:space="preserve">Correct HTTP status codes: 201 on create, 404 not found, 409 conflict/out of stock, 400 invalid</t>
  </si>
  <si>
    <t xml:space="preserve">NFR-06</t>
  </si>
  <si>
    <t xml:space="preserve">At least 6 unit/slice tests per service (JUnit 5 + Mockito)</t>
  </si>
  <si>
    <t xml:space="preserve">NFR-07</t>
  </si>
  <si>
    <t xml:space="preserve">Swagger/OpenAPI documentation available at /swagger-ui</t>
  </si>
  <si>
    <t xml:space="preserve">NFR-08</t>
  </si>
  <si>
    <t xml:space="preserve">Config via application.yml with dev/prod profiles; no hardcoded passwords (use environment variables)</t>
  </si>
  <si>
    <t xml:space="preserve">NFR-09</t>
  </si>
  <si>
    <t xml:space="preserve">Logging with SLF4J (log order id/SKU) and Actuator health endpoint</t>
  </si>
  <si>
    <t xml:space="preserve">NFR-10</t>
  </si>
  <si>
    <t xml:space="preserve">Resilience: timeout, retry and circuit breaker with fallback on Inventory calls</t>
  </si>
  <si>
    <t xml:space="preserve">NFR-11</t>
  </si>
  <si>
    <t xml:space="preserve">Dockerfile for each service and a docker-compose file to start everything</t>
  </si>
  <si>
    <t xml:space="preserve">NFR-12</t>
  </si>
  <si>
    <t xml:space="preserve">README with architecture diagram, setup steps, API list and sample requests</t>
  </si>
  <si>
    <t xml:space="preserve">NFR-13</t>
  </si>
  <si>
    <t xml:space="preserve">Public GitHub repo with regular commits</t>
  </si>
  <si>
    <t xml:space="preserve">NFR-14</t>
  </si>
  <si>
    <t xml:space="preserve">Idempotent order creation (same request key does not create duplicate orders)</t>
  </si>
  <si>
    <t xml:space="preserve">Data Model: Fields per Table</t>
  </si>
  <si>
    <t xml:space="preserve">Each service owns its own database (inventory_db, order_db). Order lines store a copy of SKU, name and price at order time (snapshot), because services do not join across databases.</t>
  </si>
  <si>
    <t xml:space="preserve">Table</t>
  </si>
  <si>
    <t xml:space="preserve">Field</t>
  </si>
  <si>
    <t xml:space="preserve">Java type</t>
  </si>
  <si>
    <t xml:space="preserve">Constraints</t>
  </si>
  <si>
    <t xml:space="preserve">Description</t>
  </si>
  <si>
    <t xml:space="preserve">product</t>
  </si>
  <si>
    <t xml:space="preserve">id</t>
  </si>
  <si>
    <t xml:space="preserve">Long</t>
  </si>
  <si>
    <t xml:space="preserve">PK, auto-generated</t>
  </si>
  <si>
    <t xml:space="preserve">Internal identifier</t>
  </si>
  <si>
    <t xml:space="preserve">sku</t>
  </si>
  <si>
    <t xml:space="preserve">String(50)</t>
  </si>
  <si>
    <t xml:space="preserve">Unique, not null</t>
  </si>
  <si>
    <t xml:space="preserve">Stock keeping unit, e.g. SKU-1001</t>
  </si>
  <si>
    <t xml:space="preserve">name</t>
  </si>
  <si>
    <t xml:space="preserve">String(150)</t>
  </si>
  <si>
    <t xml:space="preserve">Not null</t>
  </si>
  <si>
    <t xml:space="preserve">Product name</t>
  </si>
  <si>
    <t xml:space="preserve">description</t>
  </si>
  <si>
    <t xml:space="preserve">String(500)</t>
  </si>
  <si>
    <t xml:space="preserve">Optional</t>
  </si>
  <si>
    <t xml:space="preserve">Short description</t>
  </si>
  <si>
    <t xml:space="preserve">category</t>
  </si>
  <si>
    <t xml:space="preserve">String(80)</t>
  </si>
  <si>
    <t xml:space="preserve">Optional, indexed</t>
  </si>
  <si>
    <t xml:space="preserve">For filtering, e.g. Electronics</t>
  </si>
  <si>
    <t xml:space="preserve">price</t>
  </si>
  <si>
    <t xml:space="preserve">BigDecimal(10,2)</t>
  </si>
  <si>
    <t xml:space="preserve">Not null, &gt; 0</t>
  </si>
  <si>
    <t xml:space="preserve">Unit price (never use double for money)</t>
  </si>
  <si>
    <t xml:space="preserve">available_quantity</t>
  </si>
  <si>
    <t xml:space="preserve">Integer</t>
  </si>
  <si>
    <t xml:space="preserve">Not null, &gt;= 0</t>
  </si>
  <si>
    <t xml:space="preserve">Stock available to sell</t>
  </si>
  <si>
    <t xml:space="preserve">reserved_quantity</t>
  </si>
  <si>
    <t xml:space="preserve">Not null, &gt;= 0, default 0</t>
  </si>
  <si>
    <t xml:space="preserve">Stock held for confirmed orders</t>
  </si>
  <si>
    <t xml:space="preserve">active</t>
  </si>
  <si>
    <t xml:space="preserve">Boolean</t>
  </si>
  <si>
    <t xml:space="preserve">Default true</t>
  </si>
  <si>
    <t xml:space="preserve">False = soft deleted</t>
  </si>
  <si>
    <t xml:space="preserve">created_at</t>
  </si>
  <si>
    <t xml:space="preserve">LocalDateTime</t>
  </si>
  <si>
    <t xml:space="preserve">Auto-set</t>
  </si>
  <si>
    <t xml:space="preserve">Audit field</t>
  </si>
  <si>
    <t xml:space="preserve">updated_at</t>
  </si>
  <si>
    <t xml:space="preserve">stock_reservation (optional)</t>
  </si>
  <si>
    <t xml:space="preserve">PK</t>
  </si>
  <si>
    <t xml:space="preserve">Reservation record, helps with cancel/compensation</t>
  </si>
  <si>
    <t xml:space="preserve">order_number</t>
  </si>
  <si>
    <t xml:space="preserve">String(30)</t>
  </si>
  <si>
    <t xml:space="preserve">Not null, indexed</t>
  </si>
  <si>
    <t xml:space="preserve">Which order reserved the stock</t>
  </si>
  <si>
    <t xml:space="preserve">Reserved product</t>
  </si>
  <si>
    <t xml:space="preserve">quantity</t>
  </si>
  <si>
    <t xml:space="preserve">&gt; 0</t>
  </si>
  <si>
    <t xml:space="preserve">Reserved quantity</t>
  </si>
  <si>
    <t xml:space="preserve">status</t>
  </si>
  <si>
    <t xml:space="preserve">String(20)</t>
  </si>
  <si>
    <t xml:space="preserve">RESERVED / RELEASED / CONSUMED</t>
  </si>
  <si>
    <t xml:space="preserve">Reservation state</t>
  </si>
  <si>
    <t xml:space="preserve">orders</t>
  </si>
  <si>
    <t xml:space="preserve">Business id, e.g. ORD-20261026-0001</t>
  </si>
  <si>
    <t xml:space="preserve">customer_name</t>
  </si>
  <si>
    <t xml:space="preserve">String(100)</t>
  </si>
  <si>
    <t xml:space="preserve">Customer full name</t>
  </si>
  <si>
    <t xml:space="preserve">customer_email</t>
  </si>
  <si>
    <t xml:space="preserve">String(120)</t>
  </si>
  <si>
    <t xml:space="preserve">Not null, valid email, indexed</t>
  </si>
  <si>
    <t xml:space="preserve">Used to list orders and send notification</t>
  </si>
  <si>
    <t xml:space="preserve">customer_phone</t>
  </si>
  <si>
    <t xml:space="preserve">Contact number</t>
  </si>
  <si>
    <t xml:space="preserve">shipping_address_line</t>
  </si>
  <si>
    <t xml:space="preserve">String(200)</t>
  </si>
  <si>
    <t xml:space="preserve">Street/address</t>
  </si>
  <si>
    <t xml:space="preserve">shipping_city</t>
  </si>
  <si>
    <t xml:space="preserve">City</t>
  </si>
  <si>
    <t xml:space="preserve">shipping_state</t>
  </si>
  <si>
    <t xml:space="preserve">State</t>
  </si>
  <si>
    <t xml:space="preserve">shipping_pincode</t>
  </si>
  <si>
    <t xml:space="preserve">String(10)</t>
  </si>
  <si>
    <t xml:space="preserve">Postal code</t>
  </si>
  <si>
    <t xml:space="preserve">CREATED / CONFIRMED / FAILED / CANCELLED</t>
  </si>
  <si>
    <t xml:space="preserve">Order lifecycle state (enum)</t>
  </si>
  <si>
    <t xml:space="preserve">total_amount</t>
  </si>
  <si>
    <t xml:space="preserve">BigDecimal(12,2)</t>
  </si>
  <si>
    <t xml:space="preserve">Sum of line totals</t>
  </si>
  <si>
    <t xml:space="preserve">failure_reason</t>
  </si>
  <si>
    <t xml:space="preserve">String(255)</t>
  </si>
  <si>
    <t xml:space="preserve">Why order failed, e.g. Out of stock: SKU-1001</t>
  </si>
  <si>
    <t xml:space="preserve">order_line</t>
  </si>
  <si>
    <t xml:space="preserve">order_id</t>
  </si>
  <si>
    <t xml:space="preserve">FK -&gt; orders.id</t>
  </si>
  <si>
    <t xml:space="preserve">Parent order</t>
  </si>
  <si>
    <t xml:space="preserve">Product SKU (copied from Inventory)</t>
  </si>
  <si>
    <t xml:space="preserve">product_name</t>
  </si>
  <si>
    <t xml:space="preserve">Name snapshot at order time</t>
  </si>
  <si>
    <t xml:space="preserve">Ordered quantity</t>
  </si>
  <si>
    <t xml:space="preserve">unit_price</t>
  </si>
  <si>
    <t xml:space="preserve">Price snapshot at order time</t>
  </si>
  <si>
    <t xml:space="preserve">line_total</t>
  </si>
  <si>
    <t xml:space="preserve">quantity x unit_price</t>
  </si>
  <si>
    <t xml:space="preserve">Notification (optional)</t>
  </si>
  <si>
    <t xml:space="preserve">notification_log</t>
  </si>
  <si>
    <t xml:space="preserve">Identifier</t>
  </si>
  <si>
    <t xml:space="preserve">Order the event refers to</t>
  </si>
  <si>
    <t xml:space="preserve">Recipient</t>
  </si>
  <si>
    <t xml:space="preserve">event_type</t>
  </si>
  <si>
    <t xml:space="preserve">String(40)</t>
  </si>
  <si>
    <t xml:space="preserve">e.g. ORDER_CREATED</t>
  </si>
  <si>
    <t xml:space="preserve">Type of event consumed</t>
  </si>
  <si>
    <t xml:space="preserve">sent_at</t>
  </si>
  <si>
    <t xml:space="preserve">When processed</t>
  </si>
  <si>
    <t xml:space="preserve">REST API Design (use for Postman and Swagger)</t>
  </si>
  <si>
    <t xml:space="preserve">Through the gateway, prefix with /inventory or /orders. Service ports: Inventory 8081, Order 8082, Gateway 8080, Eureka 8761.</t>
  </si>
  <si>
    <t xml:space="preserve">Method</t>
  </si>
  <si>
    <t xml:space="preserve">Endpoint</t>
  </si>
  <si>
    <t xml:space="preserve">Purpose</t>
  </si>
  <si>
    <t xml:space="preserve">Request body</t>
  </si>
  <si>
    <t xml:space="preserve">Success response</t>
  </si>
  <si>
    <t xml:space="preserve">Error responses</t>
  </si>
  <si>
    <t xml:space="preserve">POST</t>
  </si>
  <si>
    <t xml:space="preserve">/api/products</t>
  </si>
  <si>
    <t xml:space="preserve">Create product</t>
  </si>
  <si>
    <t xml:space="preserve">{ sku, name, description, category, price, availableQuantity }</t>
  </si>
  <si>
    <t xml:space="preserve">201 + product</t>
  </si>
  <si>
    <t xml:space="preserve">400 invalid, 409 duplicate SKU</t>
  </si>
  <si>
    <t xml:space="preserve">GET</t>
  </si>
  <si>
    <t xml:space="preserve">/api/products/{id}</t>
  </si>
  <si>
    <t xml:space="preserve">Get product by id</t>
  </si>
  <si>
    <t xml:space="preserve">-</t>
  </si>
  <si>
    <t xml:space="preserve">200 + product</t>
  </si>
  <si>
    <t xml:space="preserve">404 not found</t>
  </si>
  <si>
    <t xml:space="preserve">/api/products/sku/{sku}</t>
  </si>
  <si>
    <t xml:space="preserve">Get product by SKU</t>
  </si>
  <si>
    <t xml:space="preserve">/api/products?page=0&amp;size=10&amp;category=</t>
  </si>
  <si>
    <t xml:space="preserve">List products (paged)</t>
  </si>
  <si>
    <t xml:space="preserve">200 + page of products</t>
  </si>
  <si>
    <t xml:space="preserve">PUT</t>
  </si>
  <si>
    <t xml:space="preserve">Update product</t>
  </si>
  <si>
    <t xml:space="preserve">{ name, description, category, price, availableQuantity }</t>
  </si>
  <si>
    <t xml:space="preserve">400, 404</t>
  </si>
  <si>
    <t xml:space="preserve">DELETE</t>
  </si>
  <si>
    <t xml:space="preserve">Soft delete product</t>
  </si>
  <si>
    <t xml:space="preserve">204</t>
  </si>
  <si>
    <t xml:space="preserve">404</t>
  </si>
  <si>
    <t xml:space="preserve">/api/inventory/{sku}/availability?qty=5</t>
  </si>
  <si>
    <t xml:space="preserve">Check stock for a SKU</t>
  </si>
  <si>
    <t xml:space="preserve">200 { sku, available, availableQuantity }</t>
  </si>
  <si>
    <t xml:space="preserve">404 unknown SKU</t>
  </si>
  <si>
    <t xml:space="preserve">/api/inventory/reserve</t>
  </si>
  <si>
    <t xml:space="preserve">Reserve stock for an order</t>
  </si>
  <si>
    <t xml:space="preserve">{ orderNumber, items: [ { sku, quantity } ] }</t>
  </si>
  <si>
    <t xml:space="preserve">200 { reserved: true }</t>
  </si>
  <si>
    <t xml:space="preserve">409 insufficient stock, 404</t>
  </si>
  <si>
    <t xml:space="preserve">/api/inventory/release</t>
  </si>
  <si>
    <t xml:space="preserve">Release stock (cancel/failure)</t>
  </si>
  <si>
    <t xml:space="preserve">{ orderNumber }</t>
  </si>
  <si>
    <t xml:space="preserve">200</t>
  </si>
  <si>
    <t xml:space="preserve">404 no reservation</t>
  </si>
  <si>
    <t xml:space="preserve">/api/orders</t>
  </si>
  <si>
    <t xml:space="preserve">Create and confirm an order</t>
  </si>
  <si>
    <t xml:space="preserve">{ customerName, customerEmail, shippingAddress{...}, items: [ { sku, quantity } ] }</t>
  </si>
  <si>
    <t xml:space="preserve">201 + order (status CONFIRMED)</t>
  </si>
  <si>
    <t xml:space="preserve">400 invalid, 409 out of stock, 503 inventory down (fallback)</t>
  </si>
  <si>
    <t xml:space="preserve">/api/orders/{id}</t>
  </si>
  <si>
    <t xml:space="preserve">Get order by id</t>
  </si>
  <si>
    <t xml:space="preserve">200 + order with lines</t>
  </si>
  <si>
    <t xml:space="preserve">/api/orders/number/{orderNumber}</t>
  </si>
  <si>
    <t xml:space="preserve">Get order by order number</t>
  </si>
  <si>
    <t xml:space="preserve">200 + order</t>
  </si>
  <si>
    <t xml:space="preserve">/api/orders?customerEmail=</t>
  </si>
  <si>
    <t xml:space="preserve">List orders of a customer</t>
  </si>
  <si>
    <t xml:space="preserve">200 + list</t>
  </si>
  <si>
    <t xml:space="preserve">/api/orders/{id}/cancel</t>
  </si>
  <si>
    <t xml:space="preserve">Cancel an order and release stock</t>
  </si>
  <si>
    <t xml:space="preserve">200 + order (CANCELLED)</t>
  </si>
  <si>
    <t xml:space="preserve">404, 409 not cancellable</t>
  </si>
  <si>
    <t xml:space="preserve">/auth/login (optional)</t>
  </si>
  <si>
    <t xml:space="preserve">Get JWT token</t>
  </si>
  <si>
    <t xml:space="preserve">{ username, password }</t>
  </si>
  <si>
    <t xml:space="preserve">200 { token }</t>
  </si>
  <si>
    <t xml:space="preserve">401 bad credentials</t>
  </si>
  <si>
    <t xml:space="preserve">Sample order request (copy into Postman):</t>
  </si>
  <si>
    <t xml:space="preserve">{"customerName":"Ravi Kumar","customerEmail":"ravi@example.com","shippingAddress":{"line":"12 MG Road","city":"Mysore","state":"Karnataka","pincode":"570001"},"items":[{"sku":"SKU-1001","quantity":2},{"sku":"SKU-1002","quantity":1}]}</t>
  </si>
  <si>
    <t xml:space="preserve">Note: names, email and address in the sample are made-up test data.</t>
  </si>
  <si>
    <t xml:space="preserve">Tech Stack and Setup</t>
  </si>
  <si>
    <t xml:space="preserve">Area</t>
  </si>
  <si>
    <t xml:space="preserve">Choice</t>
  </si>
  <si>
    <t xml:space="preserve">Note</t>
  </si>
  <si>
    <t xml:space="preserve">Language</t>
  </si>
  <si>
    <t xml:space="preserve">Java 17 or 21</t>
  </si>
  <si>
    <t xml:space="preserve">Use an LTS version</t>
  </si>
  <si>
    <t xml:space="preserve">Framework</t>
  </si>
  <si>
    <t xml:space="preserve">Spring Boot (latest stable 3.x or 4.x)</t>
  </si>
  <si>
    <t xml:space="preserve">Pick the version your main course uses</t>
  </si>
  <si>
    <t xml:space="preserve">Build tool</t>
  </si>
  <si>
    <t xml:space="preserve">Maven</t>
  </si>
  <si>
    <t xml:space="preserve">You can use Gradle if your course does</t>
  </si>
  <si>
    <t xml:space="preserve">Database</t>
  </si>
  <si>
    <t xml:space="preserve">MySQL 8 (H2 for early testing)</t>
  </si>
  <si>
    <t xml:space="preserve">One database per service: inventory_db, order_db</t>
  </si>
  <si>
    <t xml:space="preserve">Persistence</t>
  </si>
  <si>
    <t xml:space="preserve">Spring Data JPA / Hibernate</t>
  </si>
  <si>
    <t xml:space="preserve">Entities + JpaRepository</t>
  </si>
  <si>
    <t xml:space="preserve">Boilerplate</t>
  </si>
  <si>
    <t xml:space="preserve">Lombok</t>
  </si>
  <si>
    <t xml:space="preserve">Optional; reduces getters/setters</t>
  </si>
  <si>
    <t xml:space="preserve">spring-boot-starter-validation</t>
  </si>
  <si>
    <t xml:space="preserve">@Valid, @NotNull etc.</t>
  </si>
  <si>
    <t xml:space="preserve">API docs</t>
  </si>
  <si>
    <t xml:space="preserve">springdoc-openapi</t>
  </si>
  <si>
    <t xml:space="preserve">Swagger UI</t>
  </si>
  <si>
    <t xml:space="preserve">Inter-service calls</t>
  </si>
  <si>
    <t xml:space="preserve">OpenFeign or RestClient</t>
  </si>
  <si>
    <t xml:space="preserve">Pick one and stay consistent</t>
  </si>
  <si>
    <t xml:space="preserve">Resilience</t>
  </si>
  <si>
    <t xml:space="preserve">Retry, timeout, circuit breaker</t>
  </si>
  <si>
    <t xml:space="preserve">Gateway / discovery</t>
  </si>
  <si>
    <t xml:space="preserve">Spring Cloud Gateway + Eureka</t>
  </si>
  <si>
    <t xml:space="preserve">Week 4</t>
  </si>
  <si>
    <t xml:space="preserve">Security</t>
  </si>
  <si>
    <t xml:space="preserve">Spring Security + JWT</t>
  </si>
  <si>
    <t xml:space="preserve">Week 4, optional</t>
  </si>
  <si>
    <t xml:space="preserve">JUnit 5, Mockito, Postman</t>
  </si>
  <si>
    <t xml:space="preserve">Unit and API tests</t>
  </si>
  <si>
    <t xml:space="preserve">Containers</t>
  </si>
  <si>
    <t xml:space="preserve">Docker + docker-compose</t>
  </si>
  <si>
    <t xml:space="preserve">Messaging (optional)</t>
  </si>
  <si>
    <t xml:space="preserve">Kafka or RabbitMQ</t>
  </si>
  <si>
    <t xml:space="preserve">Stretch goal</t>
  </si>
  <si>
    <t xml:space="preserve">Source control</t>
  </si>
  <si>
    <t xml:space="preserve">Git + GitHub</t>
  </si>
  <si>
    <t xml:space="preserve">Commit daily</t>
  </si>
  <si>
    <t xml:space="preserve">Component</t>
  </si>
  <si>
    <t xml:space="preserve">Port</t>
  </si>
  <si>
    <t xml:space="preserve">8080</t>
  </si>
  <si>
    <t xml:space="preserve">Inventory Service</t>
  </si>
  <si>
    <t xml:space="preserve">8081</t>
  </si>
  <si>
    <t xml:space="preserve">Order Service</t>
  </si>
  <si>
    <t xml:space="preserve">8082</t>
  </si>
  <si>
    <t xml:space="preserve">Notification Service (optional)</t>
  </si>
  <si>
    <t xml:space="preserve">8083</t>
  </si>
  <si>
    <t xml:space="preserve">Eureka Server</t>
  </si>
  <si>
    <t xml:space="preserve">8761</t>
  </si>
  <si>
    <t xml:space="preserve">MySQL</t>
  </si>
  <si>
    <t xml:space="preserve">3306</t>
  </si>
  <si>
    <t xml:space="preserve">Progress Summary</t>
  </si>
  <si>
    <t xml:space="preserve">Focus</t>
  </si>
  <si>
    <t xml:space="preserve">Days</t>
  </si>
  <si>
    <t xml:space="preserve">Days done</t>
  </si>
  <si>
    <t xml:space="preserve">% complete</t>
  </si>
  <si>
    <t xml:space="preserve">Planned hours</t>
  </si>
  <si>
    <t xml:space="preserve">Hours completed</t>
  </si>
  <si>
    <t xml:space="preserve">Spring Boot fundamentals</t>
  </si>
  <si>
    <t xml:space="preserve">Data, validation, testing</t>
  </si>
  <si>
    <t xml:space="preserve">Microservices + Order Service</t>
  </si>
  <si>
    <t xml:space="preserve">Gateway, security, Docker, polish</t>
  </si>
  <si>
    <t xml:space="preserve">Total</t>
  </si>
  <si>
    <t xml:space="preserve">How to use: change the Status column on the Day-by-Day Plan sheet to 'Done' and this table updates automatically.</t>
  </si>
  <si>
    <t xml:space="preserve">Recommended Courses and Resources</t>
  </si>
  <si>
    <t xml:space="preserve">Prices and course versions change often. Check the listing is current (Spring Boot 3 or 4, Java 17+) before buying; Udemy runs frequent sales.</t>
  </si>
  <si>
    <t xml:space="preserve">Course / Resource</t>
  </si>
  <si>
    <t xml:space="preserve">Platform</t>
  </si>
  <si>
    <t xml:space="preserve">Use it for</t>
  </si>
  <si>
    <t xml:space="preserve">Use in weeks</t>
  </si>
  <si>
    <t xml:space="preserve">Cost</t>
  </si>
  <si>
    <t xml:space="preserve">Pick ONE main course</t>
  </si>
  <si>
    <t xml:space="preserve">Spring Boot 4, Spring 7 &amp; Hibernate for Beginners (Chad Darby)</t>
  </si>
  <si>
    <t xml:space="preserve">Udemy</t>
  </si>
  <si>
    <t xml:space="preserve">Complete Spring Boot foundation: DI, REST, JPA</t>
  </si>
  <si>
    <t xml:space="preserve">1-2</t>
  </si>
  <si>
    <t xml:space="preserve">Paid</t>
  </si>
  <si>
    <t xml:space="preserve">Learn Spring Boot 3 in 100 Steps (in28Minutes)</t>
  </si>
  <si>
    <t xml:space="preserve">Faster, hands-on alternative if you already know Java well (Purchased. 208 lectures, about 18 hrs; see the Course Mapping sheet.)</t>
  </si>
  <si>
    <t xml:space="preserve">Microservices (main)</t>
  </si>
  <si>
    <t xml:space="preserve">Master Microservices with Spring Boot and Spring Cloud (in28Minutes)</t>
  </si>
  <si>
    <t xml:space="preserve">Gateway, Eureka, Resilience4j, Docker, inter-service calls (Purchased. 286 lectures, about 22.5 hrs; see the Course Mapping sheet.)</t>
  </si>
  <si>
    <t xml:space="preserve">3-4</t>
  </si>
  <si>
    <t xml:space="preserve">Microservices (alt)</t>
  </si>
  <si>
    <t xml:space="preserve">Master Microservices with Spring Boot, Docker, Kubernetes</t>
  </si>
  <si>
    <t xml:space="preserve">Same topics plus Docker and Kubernetes depth</t>
  </si>
  <si>
    <t xml:space="preserve">Building Scalable Java Microservices with Spring Boot and Spring Cloud</t>
  </si>
  <si>
    <t xml:space="preserve">Coursera (Google Cloud)</t>
  </si>
  <si>
    <t xml:space="preserve">Structured course; can audit/free trial depending on current offer</t>
  </si>
  <si>
    <t xml:space="preserve">Free audit or paid</t>
  </si>
  <si>
    <t xml:space="preserve">Free / official</t>
  </si>
  <si>
    <t xml:space="preserve">Spring Academy (spring.academy)</t>
  </si>
  <si>
    <t xml:space="preserve">Spring (VMware/Broadcom)</t>
  </si>
  <si>
    <t xml:space="preserve">Official free courses on Spring Boot, REST and testing</t>
  </si>
  <si>
    <t xml:space="preserve">Free</t>
  </si>
  <si>
    <t xml:space="preserve">Guides at spring.io/guides</t>
  </si>
  <si>
    <t xml:space="preserve">spring.io</t>
  </si>
  <si>
    <t xml:space="preserve">Short step-by-step guides: REST, JPA, Gateway, Security</t>
  </si>
  <si>
    <t xml:space="preserve">Free / reference</t>
  </si>
  <si>
    <t xml:space="preserve">Baeldung Spring tutorials</t>
  </si>
  <si>
    <t xml:space="preserve">baeldung.com</t>
  </si>
  <si>
    <t xml:space="preserve">Quick articles for validation, error handling, Feign, JWT</t>
  </si>
  <si>
    <t xml:space="preserve">Free (some paid)</t>
  </si>
  <si>
    <t xml:space="preserve">Microservices.io patterns (Chris Richardson)</t>
  </si>
  <si>
    <t xml:space="preserve">microservices.io</t>
  </si>
  <si>
    <t xml:space="preserve">API gateway, saga, circuit breaker concepts</t>
  </si>
  <si>
    <t xml:space="preserve">3</t>
  </si>
  <si>
    <t xml:space="preserve">Free / video</t>
  </si>
  <si>
    <t xml:space="preserve">Amigoscode, Java Brains, Telusko Spring Boot playlists</t>
  </si>
  <si>
    <t xml:space="preserve">YouTube</t>
  </si>
  <si>
    <t xml:space="preserve">Free video alternative to Udemy for basics</t>
  </si>
  <si>
    <t xml:space="preserve">1-3</t>
  </si>
  <si>
    <t xml:space="preserve">Tools</t>
  </si>
  <si>
    <t xml:space="preserve">Postman, Docker Desktop, IntelliJ Community, MySQL</t>
  </si>
  <si>
    <t xml:space="preserve">Local</t>
  </si>
  <si>
    <t xml:space="preserve">Everything you need to run the project</t>
  </si>
  <si>
    <t xml:space="preserve">Suggested path: ONE main Spring Boot course (weeks 1-2) + ONE microservices course (weeks 3-4). Do not buy many courses; build the project instead.</t>
  </si>
  <si>
    <t xml:space="preserve">Course Mapping: both courses to the 28-Day Plan</t>
  </si>
  <si>
    <t xml:space="preserve">C1 = Learn Spring Boot 3 in 100 Steps (208 lectures, ~18 hrs). C2 = Master Microservices with Spring Boot and Spring Cloud (286 lectures, ~22.5 hrs). Lecture numbers are the numbers shown on Udemy. Watching only the lectures listed in Part 1 is roughly 15 hours across both courses. Play at 1.25-1.5x, then code your own service.</t>
  </si>
  <si>
    <t xml:space="preserve">Plan rows done:</t>
  </si>
  <si>
    <t xml:space="preserve">Part 1: What to watch on each plan day</t>
  </si>
  <si>
    <t xml:space="preserve">Plan day(s)</t>
  </si>
  <si>
    <t xml:space="preserve">Plan topic</t>
  </si>
  <si>
    <t xml:space="preserve">Primary lectures (watch these)</t>
  </si>
  <si>
    <t xml:space="preserve">Optional / alternate</t>
  </si>
  <si>
    <t xml:space="preserve">Video time</t>
  </si>
  <si>
    <t xml:space="preserve">What to do alongside</t>
  </si>
  <si>
    <t xml:space="preserve">Watch status</t>
  </si>
  <si>
    <t xml:space="preserve">Day 1</t>
  </si>
  <si>
    <t xml:space="preserve">C1 Sec 1-2: lectures 1-12 (intro, Initializr, Hello World API)</t>
  </si>
  <si>
    <t xml:space="preserve">~35 min</t>
  </si>
  <si>
    <t xml:space="preserve">Create your own project, run it, push to GitHub</t>
  </si>
  <si>
    <t xml:space="preserve">Day 1 (remaining)</t>
  </si>
  <si>
    <t xml:space="preserve">Finish Spring Boot intro</t>
  </si>
  <si>
    <t xml:space="preserve">C1 Sec 2: lectures 13-26 (starters, auto-configuration, DevTools, Boot vs Spring vs MVC)</t>
  </si>
  <si>
    <t xml:space="preserve">Lectures 19, 25, 26 are non-technical</t>
  </si>
  <si>
    <t xml:space="preserve">~1 hr</t>
  </si>
  <si>
    <t xml:space="preserve">Be able to explain @SpringBootApplication and a starter</t>
  </si>
  <si>
    <t xml:space="preserve">Day 2</t>
  </si>
  <si>
    <t xml:space="preserve">C1 Sec 13: lectures 199-207 (lambdas, filter, map, streams, Optional)</t>
  </si>
  <si>
    <t xml:space="preserve">C1 194-197 Java new features. C2 Sec 16 (271-279) is the same content</t>
  </si>
  <si>
    <t xml:space="preserve">~50 min</t>
  </si>
  <si>
    <t xml:space="preserve">Do the exercise list: streams, Optional, records, collections</t>
  </si>
  <si>
    <t xml:space="preserve">Day 3</t>
  </si>
  <si>
    <t xml:space="preserve">C1 Sec 9: 158-164, 166-167, 171-172 (tight vs loose coupling, DI types, modules)</t>
  </si>
  <si>
    <t xml:space="preserve">C2 Sec 10 (206-221) is the same content</t>
  </si>
  <si>
    <t xml:space="preserve">Write 3 beans wired by constructor injection</t>
  </si>
  <si>
    <t xml:space="preserve">Day 4</t>
  </si>
  <si>
    <t xml:space="preserve">C2 Sec 3: 14, 16, 17, 19, 20, 22 (Hello World REST, bean, auto-config, path variable)</t>
  </si>
  <si>
    <t xml:space="preserve">C2 21 (Boot 4 update). C1 122-131 as an alternative</t>
  </si>
  <si>
    <t xml:space="preserve">~40 min</t>
  </si>
  <si>
    <t xml:space="preserve">Build Product GET endpoints returning JSON</t>
  </si>
  <si>
    <t xml:space="preserve">Day 5</t>
  </si>
  <si>
    <t xml:space="preserve">Inventory Service v1</t>
  </si>
  <si>
    <t xml:space="preserve">C2 Sec 3: 23, 24, 26, 27, 28, 33 (API design, DAO service, GET, POST, status code + Location, DELETE) and C1 139 (PUT)</t>
  </si>
  <si>
    <t xml:space="preserve">C1 132-138 (best practices, status codes)</t>
  </si>
  <si>
    <t xml:space="preserve">Build your own Product CRUD; do not copy the Social Media code</t>
  </si>
  <si>
    <t xml:space="preserve">Day 6</t>
  </si>
  <si>
    <t xml:space="preserve">C1 Sec 2: 18, 20, 21, 22 (profiles, ConfigurationProperties, embedded servers, Actuator). C1 Sec 4: 52 (logging)</t>
  </si>
  <si>
    <t xml:space="preserve">C2 48 (Actuator for REST APIs)</t>
  </si>
  <si>
    <t xml:space="preserve">Add dev/prod profiles and /actuator/health</t>
  </si>
  <si>
    <t xml:space="preserve">Day 8</t>
  </si>
  <si>
    <t xml:space="preserve">JPA with H2</t>
  </si>
  <si>
    <t xml:space="preserve">C2 Sec 3: 51-54 (H2 console, User entity, REST to H2 with JPA; lecture 52 is a must-read) and C1 93 (JpaRepository)</t>
  </si>
  <si>
    <t xml:space="preserve">C2 106-107 (Boot 4 H2 changes). C1 Sec 10 (176-189) for depth</t>
  </si>
  <si>
    <t xml:space="preserve">~30 min</t>
  </si>
  <si>
    <t xml:space="preserve">Replace the in-memory list with a JpaRepository</t>
  </si>
  <si>
    <t xml:space="preserve">Day 9</t>
  </si>
  <si>
    <t xml:space="preserve">C2 Sec 3: 59, 62, 63 (MySQL overview, connector changes, implementation)</t>
  </si>
  <si>
    <t xml:space="preserve">C2 60 (Docker install, optional). C1 94, 98, 99 as alternate</t>
  </si>
  <si>
    <t xml:space="preserve">~20 min</t>
  </si>
  <si>
    <t xml:space="preserve">Use MySQL on your Mac, or Docker if you prefer</t>
  </si>
  <si>
    <t xml:space="preserve">Day 10</t>
  </si>
  <si>
    <t xml:space="preserve">No lecture covers DTOs. Related: C2 24 (DAO/service layer)</t>
  </si>
  <si>
    <t xml:space="preserve">C2 46-47 (JSON filtering, an alternative to DTOs, interview topic)</t>
  </si>
  <si>
    <t xml:space="preserve">Use Baeldung: Entity to DTO conversion</t>
  </si>
  <si>
    <t xml:space="preserve">Day 11</t>
  </si>
  <si>
    <t xml:space="preserve">C2 Sec 3: 34 (validations for REST API)</t>
  </si>
  <si>
    <t xml:space="preserve">C1 69-70 (web form version)</t>
  </si>
  <si>
    <t xml:space="preserve">~12 min</t>
  </si>
  <si>
    <t xml:space="preserve">Apply @Valid to your request DTOs</t>
  </si>
  <si>
    <t xml:space="preserve">Day 12</t>
  </si>
  <si>
    <t xml:space="preserve">C2 Sec 3: 30, 32 (404 not found, generic exception handling for all resources)</t>
  </si>
  <si>
    <t xml:space="preserve">Add @ControllerAdvice with a consistent error JSON</t>
  </si>
  <si>
    <t xml:space="preserve">Day 13</t>
  </si>
  <si>
    <t xml:space="preserve">C1 Sec 5: 101-105 (JUnit). C1 Sec 6: 107-112 (Mockito). C1 Sec 8: 150, 152, 153 (MockMvc tests)</t>
  </si>
  <si>
    <t xml:space="preserve">C1 144-148 integration tests (do on Day 14 if time allows)</t>
  </si>
  <si>
    <t xml:space="preserve">~1 hr 45 min</t>
  </si>
  <si>
    <t xml:space="preserve">Write 6+ tests for your service layer and controller</t>
  </si>
  <si>
    <t xml:space="preserve">Day 14</t>
  </si>
  <si>
    <t xml:space="preserve">Review + Swagger</t>
  </si>
  <si>
    <t xml:space="preserve">C2 Sec 3: 36, 37, 38 (OpenAPI, springdoc, auto-generated Swagger docs)</t>
  </si>
  <si>
    <t xml:space="preserve">C1 144-148 (integration tests, ~55 min)</t>
  </si>
  <si>
    <t xml:space="preserve">~15 min (+55 min)</t>
  </si>
  <si>
    <t xml:space="preserve">Add springdoc, review Week 2, update README</t>
  </si>
  <si>
    <t xml:space="preserve">Day 15</t>
  </si>
  <si>
    <t xml:space="preserve">C2 Sec 5: 79-84 (monolith vs microservices, advantages, Spring Cloud solutions)</t>
  </si>
  <si>
    <t xml:space="preserve">C2 Sec 2: 6-10 (web services, SOAP vs REST)</t>
  </si>
  <si>
    <t xml:space="preserve">~20 min (+15 min)</t>
  </si>
  <si>
    <t xml:space="preserve">Write one page of notes; map OMS concepts to microservices</t>
  </si>
  <si>
    <t xml:space="preserve">Day 16</t>
  </si>
  <si>
    <t xml:space="preserve">C2 Sec 3: 55-58 (Post entity with many-to-one, GET and POST for posts, JPA queries)</t>
  </si>
  <si>
    <t xml:space="preserve">C2 101-105 (setting up a second microservice)</t>
  </si>
  <si>
    <t xml:space="preserve">Create Order and OrderLine entities with own database</t>
  </si>
  <si>
    <t xml:space="preserve">Day 17</t>
  </si>
  <si>
    <t xml:space="preserve">No new lectures. Reuse Days 5, 11, 12</t>
  </si>
  <si>
    <t xml:space="preserve">C2 112-114 (conversion service design)</t>
  </si>
  <si>
    <t xml:space="preserve">~10 min</t>
  </si>
  <si>
    <t xml:space="preserve">POST /orders with lines, validation and status</t>
  </si>
  <si>
    <t xml:space="preserve">Day 18</t>
  </si>
  <si>
    <t xml:space="preserve">C2 Sec 6: 115, 116, 120 (invoke another microservice, Feign REST client, connect services)</t>
  </si>
  <si>
    <t xml:space="preserve">Order calls Inventory using Feign; handle 404 and out-of-stock</t>
  </si>
  <si>
    <t xml:space="preserve">Day 19</t>
  </si>
  <si>
    <t xml:space="preserve">No lecture covers this. Read Saga basics on microservices.io</t>
  </si>
  <si>
    <t xml:space="preserve">Reserve stock on order; add compensation if a step fails</t>
  </si>
  <si>
    <t xml:space="preserve">Day 20</t>
  </si>
  <si>
    <t xml:space="preserve">C2 Sec 6: 131-135 (circuit breaker, retry, fallback, rate limiting, bulkhead). 132 is a config update: do not skip</t>
  </si>
  <si>
    <t xml:space="preserve">Add retry, circuit breaker and fallback to the Inventory call</t>
  </si>
  <si>
    <t xml:space="preserve">Day 21</t>
  </si>
  <si>
    <t xml:space="preserve">Review + integration test</t>
  </si>
  <si>
    <t xml:space="preserve">No new lectures</t>
  </si>
  <si>
    <t xml:space="preserve">C2 86-99 (Spring Cloud Config Server), ~40 min, optional</t>
  </si>
  <si>
    <t xml:space="preserve">Postman collection for the full flow; update README</t>
  </si>
  <si>
    <t xml:space="preserve">Day 22</t>
  </si>
  <si>
    <t xml:space="preserve">Service discovery (Eureka)  [moved from Day 23]</t>
  </si>
  <si>
    <t xml:space="preserve">C2 Sec 6: 117-120, 123 (naming server, Eureka, connect services, load balancing)</t>
  </si>
  <si>
    <t xml:space="preserve">~25 min</t>
  </si>
  <si>
    <t xml:space="preserve">Register both services; call by service name</t>
  </si>
  <si>
    <t xml:space="preserve">Day 23</t>
  </si>
  <si>
    <t xml:space="preserve">API Gateway  [moved from Day 22]</t>
  </si>
  <si>
    <t xml:space="preserve">C2 Sec 6: 124-130 (why a gateway, setup, discovery locator, routes, logging filter)</t>
  </si>
  <si>
    <t xml:space="preserve">Route /inventory/** and /orders/** through one port</t>
  </si>
  <si>
    <t xml:space="preserve">Day 24</t>
  </si>
  <si>
    <t xml:space="preserve">C2 Sec 3: 64-65 (basic auth). C1 Sec 8: 154-156 (Starter Security for REST)</t>
  </si>
  <si>
    <t xml:space="preserve">C1 78-82 (web app security)</t>
  </si>
  <si>
    <t xml:space="preserve">Secure one endpoint. JWT is not in either course (use Baeldung)</t>
  </si>
  <si>
    <t xml:space="preserve">Day 25</t>
  </si>
  <si>
    <t xml:space="preserve">C2 Sec 7: 138, 141, 143-146 (Docker basics), 148-151 (Dockerfile, multi-stage, Maven plugin), 159-160 (container images)</t>
  </si>
  <si>
    <t xml:space="preserve">Skip 139 (Windows PowerShell)</t>
  </si>
  <si>
    <t xml:space="preserve">~1 hr 30 min</t>
  </si>
  <si>
    <t xml:space="preserve">Build a Docker image for each service</t>
  </si>
  <si>
    <t xml:space="preserve">Day 26</t>
  </si>
  <si>
    <t xml:space="preserve">C2 Sec 7: 100, 161-165 (Compose for Exchange, Eureka, Conversion, Gateway; debugging guide)</t>
  </si>
  <si>
    <t xml:space="preserve">C2 167 (Zipkin in Compose)</t>
  </si>
  <si>
    <t xml:space="preserve">One docker compose up for the whole system. Add the MySQL container yourself</t>
  </si>
  <si>
    <t xml:space="preserve">Day 27</t>
  </si>
  <si>
    <t xml:space="preserve">Async event OR tracing (optional)</t>
  </si>
  <si>
    <t xml:space="preserve">C2 Sec 7: 152-157 (distributed tracing with Zipkin, optional alternative)</t>
  </si>
  <si>
    <t xml:space="preserve">Kafka/RabbitMQ is not in either course: use the Spring for Kafka guide</t>
  </si>
  <si>
    <t xml:space="preserve">Pick one: Zipkin tracing (course-guided) or Kafka event (self-guided)</t>
  </si>
  <si>
    <t xml:space="preserve">Day 28</t>
  </si>
  <si>
    <t xml:space="preserve">No lectures</t>
  </si>
  <si>
    <t xml:space="preserve">Interview Topics sheet</t>
  </si>
  <si>
    <t xml:space="preserve">README, architecture diagram, resume update</t>
  </si>
  <si>
    <t xml:space="preserve">Part 2: Course 1 (Learn Spring Boot 3 in 100 Steps): all 13 sections</t>
  </si>
  <si>
    <t xml:space="preserve">Section</t>
  </si>
  <si>
    <t xml:space="preserve">Name</t>
  </si>
  <si>
    <t xml:space="preserve">Lectures</t>
  </si>
  <si>
    <t xml:space="preserve">Duration</t>
  </si>
  <si>
    <t xml:space="preserve">Use for project</t>
  </si>
  <si>
    <t xml:space="preserve">C1 Sec 1</t>
  </si>
  <si>
    <t xml:space="preserve">Introduction</t>
  </si>
  <si>
    <t xml:space="preserve">1-6</t>
  </si>
  <si>
    <t xml:space="preserve">9 min</t>
  </si>
  <si>
    <t xml:space="preserve">Already completed</t>
  </si>
  <si>
    <t xml:space="preserve">C1 Sec 2</t>
  </si>
  <si>
    <t xml:space="preserve">Introduction to Spring Boot in 10 Steps - V2</t>
  </si>
  <si>
    <t xml:space="preserve">7-26</t>
  </si>
  <si>
    <t xml:space="preserve">1 hr 23 min</t>
  </si>
  <si>
    <t xml:space="preserve">Watch</t>
  </si>
  <si>
    <t xml:space="preserve">Core. Done up to lecture 12; 13-26 left</t>
  </si>
  <si>
    <t xml:space="preserve">In progress</t>
  </si>
  <si>
    <t xml:space="preserve">C1 Sec 3</t>
  </si>
  <si>
    <t xml:space="preserve">Introduction to Maven</t>
  </si>
  <si>
    <t xml:space="preserve">27-38</t>
  </si>
  <si>
    <t xml:space="preserve">1 hr</t>
  </si>
  <si>
    <t xml:space="preserve">Skim</t>
  </si>
  <si>
    <t xml:space="preserve">Only if Maven is unclear. Same as C2 Sec 4</t>
  </si>
  <si>
    <t xml:space="preserve">C1 Sec 4</t>
  </si>
  <si>
    <t xml:space="preserve">Web Application with Spring Boot - V2</t>
  </si>
  <si>
    <t xml:space="preserve">39-100</t>
  </si>
  <si>
    <t xml:space="preserve">5 hr 57 min</t>
  </si>
  <si>
    <t xml:space="preserve">Selective</t>
  </si>
  <si>
    <t xml:space="preserve">JSP Todo app, mostly not needed. Take 52 (logging); 78-82 optional (security)</t>
  </si>
  <si>
    <t xml:space="preserve">C1 Sec 5</t>
  </si>
  <si>
    <t xml:space="preserve">Introduction to JUnit in 5 Steps - V2</t>
  </si>
  <si>
    <t xml:space="preserve">101-106</t>
  </si>
  <si>
    <t xml:space="preserve">39 min</t>
  </si>
  <si>
    <t xml:space="preserve">C1 Sec 6</t>
  </si>
  <si>
    <t xml:space="preserve">Introduction to Mockito in 5 Steps - V2</t>
  </si>
  <si>
    <t xml:space="preserve">107-113</t>
  </si>
  <si>
    <t xml:space="preserve">38 min</t>
  </si>
  <si>
    <t xml:space="preserve">C1 Sec 7</t>
  </si>
  <si>
    <t xml:space="preserve">Introduction to Gradle</t>
  </si>
  <si>
    <t xml:space="preserve">114-121</t>
  </si>
  <si>
    <t xml:space="preserve">26 min</t>
  </si>
  <si>
    <t xml:space="preserve">Skip</t>
  </si>
  <si>
    <t xml:space="preserve">Your project uses Maven</t>
  </si>
  <si>
    <t xml:space="preserve">C1 Sec 8</t>
  </si>
  <si>
    <t xml:space="preserve">Spring Boot Deep Dive with a REST API - V2</t>
  </si>
  <si>
    <t xml:space="preserve">122-157</t>
  </si>
  <si>
    <t xml:space="preserve">3 hr 50 min</t>
  </si>
  <si>
    <t xml:space="preserve">Now used for testing (150, 152, 153; optional 144-148), PUT (139) and REST security (154-156). REST CRUD basics come from C2 Sec 3</t>
  </si>
  <si>
    <t xml:space="preserve">C1 Sec 9</t>
  </si>
  <si>
    <t xml:space="preserve">Appendix - Introduction to Spring Framework</t>
  </si>
  <si>
    <t xml:space="preserve">158-175</t>
  </si>
  <si>
    <t xml:space="preserve">1 hr 26 min</t>
  </si>
  <si>
    <t xml:space="preserve">DI and loose coupling (Day 3)</t>
  </si>
  <si>
    <t xml:space="preserve">C1 Sec 10</t>
  </si>
  <si>
    <t xml:space="preserve">Appendix - Introduction to JPA With Spring Boot in 10 Steps</t>
  </si>
  <si>
    <t xml:space="preserve">176-189</t>
  </si>
  <si>
    <t xml:space="preserve">1 hr 16 min</t>
  </si>
  <si>
    <t xml:space="preserve">Deeper JPA, good for interviews</t>
  </si>
  <si>
    <t xml:space="preserve">C1 Sec 11</t>
  </si>
  <si>
    <t xml:space="preserve">Congratulations</t>
  </si>
  <si>
    <t xml:space="preserve">190-192</t>
  </si>
  <si>
    <t xml:space="preserve">1 min</t>
  </si>
  <si>
    <t xml:space="preserve">Non-technical</t>
  </si>
  <si>
    <t xml:space="preserve">C1 Sec 12</t>
  </si>
  <si>
    <t xml:space="preserve">Appendix - Java New Features Quick Review</t>
  </si>
  <si>
    <t xml:space="preserve">193-198</t>
  </si>
  <si>
    <t xml:space="preserve">32 min</t>
  </si>
  <si>
    <t xml:space="preserve">Lecture 197 lists important Java versions</t>
  </si>
  <si>
    <t xml:space="preserve">C1 Sec 13</t>
  </si>
  <si>
    <t xml:space="preserve">Appendix - Functional Programming in 30 Minutes</t>
  </si>
  <si>
    <t xml:space="preserve">199-208</t>
  </si>
  <si>
    <t xml:space="preserve">50 min</t>
  </si>
  <si>
    <t xml:space="preserve">Part 3: Course 2 (Master Microservices with Spring Boot and Spring Cloud): all 17 sections</t>
  </si>
  <si>
    <t xml:space="preserve">C2 Sec 1</t>
  </si>
  <si>
    <t xml:space="preserve">Getting Started</t>
  </si>
  <si>
    <t xml:space="preserve">1-5</t>
  </si>
  <si>
    <t xml:space="preserve">8 min</t>
  </si>
  <si>
    <t xml:space="preserve">Intro only</t>
  </si>
  <si>
    <t xml:space="preserve">C2 Sec 2</t>
  </si>
  <si>
    <t xml:space="preserve">Introduction To Web Services</t>
  </si>
  <si>
    <t xml:space="preserve">6-10</t>
  </si>
  <si>
    <t xml:space="preserve">15 min</t>
  </si>
  <si>
    <t xml:space="preserve">Lecture 10 (SOAP vs REST) is a common interview question</t>
  </si>
  <si>
    <t xml:space="preserve">C2 Sec 3</t>
  </si>
  <si>
    <t xml:space="preserve">Restful Web Services with Spring Boot</t>
  </si>
  <si>
    <t xml:space="preserve">11-66</t>
  </si>
  <si>
    <t xml:space="preserve">5 hr 9 min</t>
  </si>
  <si>
    <t xml:space="preserve">Watch (selected)</t>
  </si>
  <si>
    <t xml:space="preserve">Take 14-28, 30, 32-34, 36-38, 51-58, 59, 62-65. Optional: 39-47 (XML, i18n, versioning, HATEOAS, filtering), 48-49 (Actuator, HAL)</t>
  </si>
  <si>
    <t xml:space="preserve">C2 Sec 4</t>
  </si>
  <si>
    <t xml:space="preserve">67-78</t>
  </si>
  <si>
    <t xml:space="preserve">Same lecture titles as C1 Sec 3</t>
  </si>
  <si>
    <t xml:space="preserve">C2 Sec 5</t>
  </si>
  <si>
    <t xml:space="preserve">Introduction To Microservices</t>
  </si>
  <si>
    <t xml:space="preserve">79-84</t>
  </si>
  <si>
    <t xml:space="preserve">20 min</t>
  </si>
  <si>
    <t xml:space="preserve">C2 Sec 6</t>
  </si>
  <si>
    <t xml:space="preserve">Microservices with Spring Cloud</t>
  </si>
  <si>
    <t xml:space="preserve">85-136</t>
  </si>
  <si>
    <t xml:space="preserve">3 hr 37 min</t>
  </si>
  <si>
    <t xml:space="preserve">Take 115-116, 117-120, 123, 124-130, 131-135. Optional: 86-99 (Config Server), 101-114 (currency sample services)</t>
  </si>
  <si>
    <t xml:space="preserve">C2 Sec 7</t>
  </si>
  <si>
    <t xml:space="preserve">Docker with Microservices using Spring Boot and Spring Cloud - V3</t>
  </si>
  <si>
    <t xml:space="preserve">137-168</t>
  </si>
  <si>
    <t xml:space="preserve">2 hr 26 min</t>
  </si>
  <si>
    <t xml:space="preserve">Take 138, 141, 143-146, 148-151, 159-165. Optional: 152-157, 167 (Zipkin tracing). Skip 139 (Windows)</t>
  </si>
  <si>
    <t xml:space="preserve">C2 Sec 8</t>
  </si>
  <si>
    <t xml:space="preserve">Kubernetes with Microservices using Docker, Spring Boot and Spring Cloud</t>
  </si>
  <si>
    <t xml:space="preserve">169-202</t>
  </si>
  <si>
    <t xml:space="preserve">2 hr 51 min</t>
  </si>
  <si>
    <t xml:space="preserve">Skip for now</t>
  </si>
  <si>
    <t xml:space="preserve">Needs a Google Cloud (GKE) account and is not needed for this project</t>
  </si>
  <si>
    <t xml:space="preserve">C2 Sec 9</t>
  </si>
  <si>
    <t xml:space="preserve">Thanks</t>
  </si>
  <si>
    <t xml:space="preserve">203-205</t>
  </si>
  <si>
    <t xml:space="preserve">2 min</t>
  </si>
  <si>
    <t xml:space="preserve">C2 Sec 10</t>
  </si>
  <si>
    <t xml:space="preserve">206-221</t>
  </si>
  <si>
    <t xml:space="preserve">1 hr 22 min</t>
  </si>
  <si>
    <t xml:space="preserve">Same lecture titles as C1 Sec 9</t>
  </si>
  <si>
    <t xml:space="preserve">C2 Sec 11</t>
  </si>
  <si>
    <t xml:space="preserve">Appendix - Introduction to Spring Boot in 12 Steps</t>
  </si>
  <si>
    <t xml:space="preserve">222-236</t>
  </si>
  <si>
    <t xml:space="preserve">1 hr 15 min</t>
  </si>
  <si>
    <t xml:space="preserve">Same topics as C1 Sec 2</t>
  </si>
  <si>
    <t xml:space="preserve">C2 Sec 12</t>
  </si>
  <si>
    <t xml:space="preserve">Appendix - Introduction to JUnit</t>
  </si>
  <si>
    <t xml:space="preserve">237-242</t>
  </si>
  <si>
    <t xml:space="preserve">Same lecture titles as C1 Sec 5</t>
  </si>
  <si>
    <t xml:space="preserve">C2 Sec 13</t>
  </si>
  <si>
    <t xml:space="preserve">Appendix - Introduction To Mockito</t>
  </si>
  <si>
    <t xml:space="preserve">243-249</t>
  </si>
  <si>
    <t xml:space="preserve">Same lecture titles as C1 Sec 6</t>
  </si>
  <si>
    <t xml:space="preserve">C2 Sec 14</t>
  </si>
  <si>
    <t xml:space="preserve">Appendix - Introduction To Gradle</t>
  </si>
  <si>
    <t xml:space="preserve">250-257</t>
  </si>
  <si>
    <t xml:space="preserve">Same lecture titles as C1 Sec 7</t>
  </si>
  <si>
    <t xml:space="preserve">C2 Sec 15</t>
  </si>
  <si>
    <t xml:space="preserve">Appendix - Introduction to JPA in 10 Steps - V2</t>
  </si>
  <si>
    <t xml:space="preserve">258-270</t>
  </si>
  <si>
    <t xml:space="preserve">Same lecture titles as C1 Sec 10</t>
  </si>
  <si>
    <t xml:space="preserve">C2 Sec 16</t>
  </si>
  <si>
    <t xml:space="preserve">Appendix - Introduction to Functional Programming in 30 Minutes</t>
  </si>
  <si>
    <t xml:space="preserve">271-280</t>
  </si>
  <si>
    <t xml:space="preserve">Same lecture titles as C1 Sec 13</t>
  </si>
  <si>
    <t xml:space="preserve">C2 Sec 17</t>
  </si>
  <si>
    <t xml:space="preserve">Appendix - Java New Features - A Quick Review</t>
  </si>
  <si>
    <t xml:space="preserve">281-286</t>
  </si>
  <si>
    <t xml:space="preserve">Same lecture titles as C1 Sec 12</t>
  </si>
  <si>
    <t xml:space="preserve">Part 4: Interview-important lectures (watch these even if you skip others)</t>
  </si>
  <si>
    <t xml:space="preserve">Course</t>
  </si>
  <si>
    <t xml:space="preserve">Lecture(s)</t>
  </si>
  <si>
    <t xml:space="preserve">Why it matters</t>
  </si>
  <si>
    <t xml:space="preserve">C1</t>
  </si>
  <si>
    <t xml:space="preserve">14, 16</t>
  </si>
  <si>
    <t xml:space="preserve">Starter projects and auto-configuration</t>
  </si>
  <si>
    <t xml:space="preserve">Most asked Spring Boot question</t>
  </si>
  <si>
    <t xml:space="preserve">23</t>
  </si>
  <si>
    <t xml:space="preserve">Spring Boot vs Spring vs Spring MVC</t>
  </si>
  <si>
    <t xml:space="preserve">Common basic question</t>
  </si>
  <si>
    <t xml:space="preserve">53</t>
  </si>
  <si>
    <t xml:space="preserve">DispatcherServlet, Model 1, Model 2, Front Controller</t>
  </si>
  <si>
    <t xml:space="preserve">How a Spring MVC request flows</t>
  </si>
  <si>
    <t xml:space="preserve">161-164, 167, 171</t>
  </si>
  <si>
    <t xml:space="preserve">Loose coupling, Spring terminology, DI types</t>
  </si>
  <si>
    <t xml:space="preserve">Explains why DI exists</t>
  </si>
  <si>
    <t xml:space="preserve">188</t>
  </si>
  <si>
    <t xml:space="preserve">Hibernate vs JPA</t>
  </si>
  <si>
    <t xml:space="preserve">Frequently asked</t>
  </si>
  <si>
    <t xml:space="preserve">110-111</t>
  </si>
  <si>
    <t xml:space="preserve">Mockito mocks, @Mock and @InjectMocks</t>
  </si>
  <si>
    <t xml:space="preserve">Unit testing questions</t>
  </si>
  <si>
    <t xml:space="preserve">C2</t>
  </si>
  <si>
    <t xml:space="preserve">10</t>
  </si>
  <si>
    <t xml:space="preserve">SOAP vs RESTful web services</t>
  </si>
  <si>
    <t xml:space="preserve">Classic interview question</t>
  </si>
  <si>
    <t xml:space="preserve">28</t>
  </si>
  <si>
    <t xml:space="preserve">POST status code CREATED and Location header</t>
  </si>
  <si>
    <t xml:space="preserve">REST API design</t>
  </si>
  <si>
    <t xml:space="preserve">30, 32</t>
  </si>
  <si>
    <t xml:space="preserve">Exception handling: 404 and generic handler</t>
  </si>
  <si>
    <t xml:space="preserve">Error handling in REST</t>
  </si>
  <si>
    <t xml:space="preserve">55</t>
  </si>
  <si>
    <t xml:space="preserve">Many-to-one relationship (Post to User)</t>
  </si>
  <si>
    <t xml:space="preserve">JPA relationships</t>
  </si>
  <si>
    <t xml:space="preserve">81-84</t>
  </si>
  <si>
    <t xml:space="preserve">What microservices are, advantages, Spring Cloud solutions</t>
  </si>
  <si>
    <t xml:space="preserve">Opening question in any microservices interview</t>
  </si>
  <si>
    <t xml:space="preserve">116</t>
  </si>
  <si>
    <t xml:space="preserve">Feign REST client</t>
  </si>
  <si>
    <t xml:space="preserve">Service-to-service calls</t>
  </si>
  <si>
    <t xml:space="preserve">117-118</t>
  </si>
  <si>
    <t xml:space="preserve">Naming server (Eureka)</t>
  </si>
  <si>
    <t xml:space="preserve">Service discovery</t>
  </si>
  <si>
    <t xml:space="preserve">124</t>
  </si>
  <si>
    <t xml:space="preserve">Why an API Gateway</t>
  </si>
  <si>
    <t xml:space="preserve">Gateway pattern</t>
  </si>
  <si>
    <t xml:space="preserve">131-135</t>
  </si>
  <si>
    <t xml:space="preserve">Resilience4j: circuit breaker, retry, rate limit, bulkhead</t>
  </si>
  <si>
    <t xml:space="preserve">Fault tolerance</t>
  </si>
  <si>
    <t xml:space="preserve">145</t>
  </si>
  <si>
    <t xml:space="preserve">How Docker works</t>
  </si>
  <si>
    <t xml:space="preserve">Docker basics</t>
  </si>
  <si>
    <t xml:space="preserve">152</t>
  </si>
  <si>
    <t xml:space="preserve">Distributed tracing</t>
  </si>
  <si>
    <t xml:space="preserve">Observability</t>
  </si>
  <si>
    <t xml:space="preserve">Part 5: Gaps still left after both courses (use free resources)</t>
  </si>
  <si>
    <t xml:space="preserve">Plan day</t>
  </si>
  <si>
    <t xml:space="preserve">Where to learn it (free)</t>
  </si>
  <si>
    <t xml:space="preserve">DTOs and layered design</t>
  </si>
  <si>
    <t xml:space="preserve">Baeldung: Entity to DTO conversion</t>
  </si>
  <si>
    <t xml:space="preserve">Not in either course</t>
  </si>
  <si>
    <t xml:space="preserve">Data consistency across services (Saga)</t>
  </si>
  <si>
    <t xml:space="preserve">microservices.io: Saga pattern</t>
  </si>
  <si>
    <t xml:space="preserve">Concept only; not in either course</t>
  </si>
  <si>
    <t xml:space="preserve">JWT security</t>
  </si>
  <si>
    <t xml:space="preserve">Baeldung: Spring Security + JWT</t>
  </si>
  <si>
    <t xml:space="preserve">Both courses cover basic auth only</t>
  </si>
  <si>
    <t xml:space="preserve">MySQL container in Docker Compose</t>
  </si>
  <si>
    <t xml:space="preserve">Docker docs: MySQL image</t>
  </si>
  <si>
    <t xml:space="preserve">Courses use H2 in Compose</t>
  </si>
  <si>
    <t xml:space="preserve">Kafka / RabbitMQ events</t>
  </si>
  <si>
    <t xml:space="preserve">Day 27 (optional)</t>
  </si>
  <si>
    <t xml:space="preserve">spring.io guides: Spring for Kafka</t>
  </si>
  <si>
    <t xml:space="preserve">Part 6: Changes made after comparing the two courses</t>
  </si>
  <si>
    <t xml:space="preserve">Change</t>
  </si>
  <si>
    <t xml:space="preserve">Why</t>
  </si>
  <si>
    <t xml:space="preserve">REST basics now come from C2 Sec 3 instead of C1 Sec 8</t>
  </si>
  <si>
    <t xml:space="preserve">Days 4-5</t>
  </si>
  <si>
    <t xml:space="preserve">C2 covers the full CRUD, exception handling, validation, Swagger, JPA and MySQL in one flow. C1 Sec 8 is kept for PUT and tests</t>
  </si>
  <si>
    <t xml:space="preserve">Validation, exception handling and Swagger now covered by C2</t>
  </si>
  <si>
    <t xml:space="preserve">Days 11, 12, 14</t>
  </si>
  <si>
    <t xml:space="preserve">These were gaps in C1; C2 lectures 34, 30, 32 and 36-38 teach them for REST</t>
  </si>
  <si>
    <t xml:space="preserve">Day 22 and Day 23 swapped: Eureka first, then API Gateway</t>
  </si>
  <si>
    <t xml:space="preserve">Days 22-23</t>
  </si>
  <si>
    <t xml:space="preserve">C2 teaches Eureka before the gateway, and the gateway discovery locator needs Eureka. The Day-by-Day Plan and Requirements (FR-17) were updated</t>
  </si>
  <si>
    <t xml:space="preserve">Docker, Compose and Resilience4j now mapped to C2 lectures</t>
  </si>
  <si>
    <t xml:space="preserve">Days 20, 25, 26</t>
  </si>
  <si>
    <t xml:space="preserve">Previously only 'second course'; now exact lectures</t>
  </si>
  <si>
    <t xml:space="preserve">JPA relationships mapped to Order Service skeleton</t>
  </si>
  <si>
    <t xml:space="preserve">C2 lectures 55-58 teach many-to-one, like Order to OrderLine</t>
  </si>
  <si>
    <t xml:space="preserve">Kubernetes (C2 Sec 8) and C2 appendices skipped</t>
  </si>
  <si>
    <t xml:space="preserve">Not needed for this project; the appendices repeat C1 content</t>
  </si>
  <si>
    <t xml:space="preserve">Interview Topics Checklist</t>
  </si>
  <si>
    <t xml:space="preserve">#</t>
  </si>
  <si>
    <t xml:space="preserve">Be able to explain</t>
  </si>
  <si>
    <t xml:space="preserve">Ready?</t>
  </si>
  <si>
    <t xml:space="preserve">What is Spring Boot and how does auto-configuration work?</t>
  </si>
  <si>
    <t xml:space="preserve">Starters, @SpringBootApplication = 3 annotations, conditional beans</t>
  </si>
  <si>
    <t xml:space="preserve">No</t>
  </si>
  <si>
    <t xml:space="preserve">IoC and Dependency Injection</t>
  </si>
  <si>
    <t xml:space="preserve">Container, beans, constructor injection preferred over field injection</t>
  </si>
  <si>
    <t xml:space="preserve">Bean scopes and lifecycle</t>
  </si>
  <si>
    <t xml:space="preserve">singleton vs prototype, @PostConstruct, @PreDestroy</t>
  </si>
  <si>
    <t xml:space="preserve">@Component vs @Service vs @Repository vs @Controller</t>
  </si>
  <si>
    <t xml:space="preserve">Stereotypes, exception translation for @Repository</t>
  </si>
  <si>
    <t xml:space="preserve">REST principles and HTTP methods/status codes</t>
  </si>
  <si>
    <t xml:space="preserve">GET/POST/PUT/PATCH/DELETE, idempotency, 200/201/400/404/500</t>
  </si>
  <si>
    <t xml:space="preserve">Spring Data JPA</t>
  </si>
  <si>
    <t xml:space="preserve">Entity, repository, lazy vs eager, N+1 problem, @Transactional</t>
  </si>
  <si>
    <t xml:space="preserve">Exception handling and validation</t>
  </si>
  <si>
    <t xml:space="preserve">@ControllerAdvice, @Valid, custom exceptions</t>
  </si>
  <si>
    <t xml:space="preserve">Profiles and externalized configuration</t>
  </si>
  <si>
    <t xml:space="preserve">application.yml, profiles, environment variables</t>
  </si>
  <si>
    <t xml:space="preserve">Monolith vs microservices</t>
  </si>
  <si>
    <t xml:space="preserve">Trade-offs, when NOT to use microservices</t>
  </si>
  <si>
    <t xml:space="preserve">Service communication</t>
  </si>
  <si>
    <t xml:space="preserve">REST/Feign vs messaging, sync vs async</t>
  </si>
  <si>
    <t xml:space="preserve">API Gateway and service discovery</t>
  </si>
  <si>
    <t xml:space="preserve">Why Gateway, how Eureka works, load balancing</t>
  </si>
  <si>
    <t xml:space="preserve">Resilience patterns</t>
  </si>
  <si>
    <t xml:space="preserve">Circuit breaker, retry, timeout, fallback</t>
  </si>
  <si>
    <t xml:space="preserve">Data consistency across services</t>
  </si>
  <si>
    <t xml:space="preserve">DB per service, eventual consistency, saga basics</t>
  </si>
  <si>
    <t xml:space="preserve">Authentication vs authorization, JWT flow</t>
  </si>
  <si>
    <t xml:space="preserve">Testing in Spring Boot</t>
  </si>
  <si>
    <t xml:space="preserve">Unit vs slice vs integration tests, Mockito</t>
  </si>
  <si>
    <t xml:space="preserve">Image vs container, Dockerfile, compose</t>
  </si>
  <si>
    <t xml:space="preserve">Your project in 2 minutes</t>
  </si>
  <si>
    <t xml:space="preserve">Architecture, flow, one challenge you solved</t>
  </si>
  <si>
    <t xml:space="preserve">Sterling to Spring bridge</t>
  </si>
  <si>
    <t xml:space="preserve">Compare OMS agents/events/APIs to microservices and events</t>
  </si>
  <si>
    <t xml:space="preserve">Java core</t>
  </si>
  <si>
    <t xml:space="preserve">Collections, streams, multithreading basics, equals/hashCode</t>
  </si>
  <si>
    <t xml:space="preserve">SQL</t>
  </si>
  <si>
    <t xml:space="preserve">Joins, indexes, group by, transactions</t>
  </si>
  <si>
    <t xml:space="preserve">Topics ready: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</si>
</sst>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dd\-mmm\-yy&quot; (&quot;ddd\)"/>
    <numFmt numFmtId="167" formatCode="General"/>
    <numFmt numFmtId="168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Courier New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  <fill>
      <patternFill patternType="solid">
        <fgColor rgb="FFE8F1FB"/>
        <bgColor rgb="FFEAF6EC"/>
      </patternFill>
    </fill>
    <fill>
      <patternFill patternType="solid">
        <fgColor rgb="FFEAF6EC"/>
        <bgColor rgb="FFE8F1FB"/>
      </patternFill>
    </fill>
    <fill>
      <patternFill patternType="solid">
        <fgColor rgb="FFFFF5E0"/>
        <bgColor rgb="FFEAF6EC"/>
      </patternFill>
    </fill>
    <fill>
      <patternFill patternType="solid">
        <fgColor rgb="FFF6EAF8"/>
        <bgColor rgb="FFE8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A9D18E"/>
        </patternFill>
      </fill>
    </dxf>
    <dxf>
      <fill>
        <patternFill>
          <bgColor rgb="FFFFE699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5E0"/>
      <rgbColor rgb="FFE8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6EC"/>
      <rgbColor rgb="FFF6EAF8"/>
      <rgbColor rgb="FFFFE6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17"/>
    <col collapsed="false" customWidth="true" hidden="false" outlineLevel="0" max="4" min="4" style="0" width="28"/>
    <col collapsed="false" customWidth="true" hidden="false" outlineLevel="0" max="5" min="5" style="0" width="60"/>
    <col collapsed="false" customWidth="true" hidden="false" outlineLevel="0" max="6" min="6" style="0" width="40"/>
    <col collapsed="false" customWidth="true" hidden="false" outlineLevel="0" max="7" min="7" style="0" width="36"/>
    <col collapsed="false" customWidth="true" hidden="false" outlineLevel="0" max="8" min="8" style="0" width="8"/>
    <col collapsed="false" customWidth="true" hidden="false" outlineLevel="0" max="9" min="9" style="0" width="13"/>
    <col collapsed="false" customWidth="true" hidden="false" outlineLevel="0" max="10" min="10" style="0" width="2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C2" s="3" t="n">
        <v>46318</v>
      </c>
      <c r="D2" s="4" t="s">
        <v>2</v>
      </c>
    </row>
    <row r="4" customFormat="false" ht="30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</row>
    <row r="5" customFormat="false" ht="35.05" hidden="false" customHeight="false" outlineLevel="0" collapsed="false">
      <c r="A5" s="6" t="n">
        <v>1</v>
      </c>
      <c r="B5" s="6" t="n">
        <v>1</v>
      </c>
      <c r="C5" s="7" t="n">
        <f aca="false">$C$2+A5-1</f>
        <v>46318</v>
      </c>
      <c r="D5" s="8" t="s">
        <v>13</v>
      </c>
      <c r="E5" s="9" t="s">
        <v>14</v>
      </c>
      <c r="F5" s="9" t="s">
        <v>15</v>
      </c>
      <c r="G5" s="9" t="s">
        <v>16</v>
      </c>
      <c r="H5" s="10" t="n">
        <v>2</v>
      </c>
      <c r="I5" s="6" t="s">
        <v>17</v>
      </c>
      <c r="J5" s="9"/>
    </row>
    <row r="6" customFormat="false" ht="23.85" hidden="false" customHeight="false" outlineLevel="0" collapsed="false">
      <c r="A6" s="6" t="n">
        <v>2</v>
      </c>
      <c r="B6" s="6" t="n">
        <v>1</v>
      </c>
      <c r="C6" s="7" t="n">
        <f aca="false">$C$2+A6-1</f>
        <v>46319</v>
      </c>
      <c r="D6" s="8" t="s">
        <v>18</v>
      </c>
      <c r="E6" s="9" t="s">
        <v>19</v>
      </c>
      <c r="F6" s="9" t="s">
        <v>20</v>
      </c>
      <c r="G6" s="9" t="s">
        <v>21</v>
      </c>
      <c r="H6" s="10" t="n">
        <v>2</v>
      </c>
      <c r="I6" s="6" t="s">
        <v>22</v>
      </c>
      <c r="J6" s="9"/>
    </row>
    <row r="7" customFormat="false" ht="23.85" hidden="false" customHeight="false" outlineLevel="0" collapsed="false">
      <c r="A7" s="6" t="n">
        <v>3</v>
      </c>
      <c r="B7" s="6" t="n">
        <v>1</v>
      </c>
      <c r="C7" s="7" t="n">
        <f aca="false">$C$2+A7-1</f>
        <v>46320</v>
      </c>
      <c r="D7" s="8" t="s">
        <v>23</v>
      </c>
      <c r="E7" s="9" t="s">
        <v>24</v>
      </c>
      <c r="F7" s="9" t="s">
        <v>25</v>
      </c>
      <c r="G7" s="9" t="s">
        <v>26</v>
      </c>
      <c r="H7" s="10" t="n">
        <v>2</v>
      </c>
      <c r="I7" s="6" t="s">
        <v>22</v>
      </c>
      <c r="J7" s="9"/>
    </row>
    <row r="8" customFormat="false" ht="23.85" hidden="false" customHeight="false" outlineLevel="0" collapsed="false">
      <c r="A8" s="6" t="n">
        <v>4</v>
      </c>
      <c r="B8" s="6" t="n">
        <v>1</v>
      </c>
      <c r="C8" s="7" t="n">
        <f aca="false">$C$2+A8-1</f>
        <v>46321</v>
      </c>
      <c r="D8" s="8" t="s">
        <v>27</v>
      </c>
      <c r="E8" s="9" t="s">
        <v>28</v>
      </c>
      <c r="F8" s="9" t="s">
        <v>29</v>
      </c>
      <c r="G8" s="9" t="s">
        <v>30</v>
      </c>
      <c r="H8" s="10" t="n">
        <v>2</v>
      </c>
      <c r="I8" s="6" t="s">
        <v>22</v>
      </c>
      <c r="J8" s="9"/>
    </row>
    <row r="9" customFormat="false" ht="23.85" hidden="false" customHeight="false" outlineLevel="0" collapsed="false">
      <c r="A9" s="6" t="n">
        <v>5</v>
      </c>
      <c r="B9" s="6" t="n">
        <v>1</v>
      </c>
      <c r="C9" s="7" t="n">
        <f aca="false">$C$2+A9-1</f>
        <v>46322</v>
      </c>
      <c r="D9" s="8" t="s">
        <v>31</v>
      </c>
      <c r="E9" s="9" t="s">
        <v>32</v>
      </c>
      <c r="F9" s="9" t="s">
        <v>33</v>
      </c>
      <c r="G9" s="9" t="s">
        <v>34</v>
      </c>
      <c r="H9" s="10" t="n">
        <v>2</v>
      </c>
      <c r="I9" s="6" t="s">
        <v>22</v>
      </c>
      <c r="J9" s="9"/>
    </row>
    <row r="10" customFormat="false" ht="23.85" hidden="false" customHeight="false" outlineLevel="0" collapsed="false">
      <c r="A10" s="6" t="n">
        <v>6</v>
      </c>
      <c r="B10" s="6" t="n">
        <v>1</v>
      </c>
      <c r="C10" s="7" t="n">
        <f aca="false">$C$2+A10-1</f>
        <v>46323</v>
      </c>
      <c r="D10" s="8" t="s">
        <v>35</v>
      </c>
      <c r="E10" s="9" t="s">
        <v>36</v>
      </c>
      <c r="F10" s="9" t="s">
        <v>37</v>
      </c>
      <c r="G10" s="9" t="s">
        <v>38</v>
      </c>
      <c r="H10" s="10" t="n">
        <v>2</v>
      </c>
      <c r="I10" s="6" t="s">
        <v>22</v>
      </c>
      <c r="J10" s="9"/>
    </row>
    <row r="11" customFormat="false" ht="23.85" hidden="false" customHeight="false" outlineLevel="0" collapsed="false">
      <c r="A11" s="6" t="n">
        <v>7</v>
      </c>
      <c r="B11" s="6" t="n">
        <v>1</v>
      </c>
      <c r="C11" s="7" t="n">
        <f aca="false">$C$2+A11-1</f>
        <v>46324</v>
      </c>
      <c r="D11" s="8" t="s">
        <v>39</v>
      </c>
      <c r="E11" s="9" t="s">
        <v>40</v>
      </c>
      <c r="F11" s="9" t="s">
        <v>41</v>
      </c>
      <c r="G11" s="9" t="s">
        <v>42</v>
      </c>
      <c r="H11" s="10" t="n">
        <v>3</v>
      </c>
      <c r="I11" s="6" t="s">
        <v>22</v>
      </c>
      <c r="J11" s="9"/>
    </row>
    <row r="12" customFormat="false" ht="23.85" hidden="false" customHeight="false" outlineLevel="0" collapsed="false">
      <c r="A12" s="11" t="n">
        <v>8</v>
      </c>
      <c r="B12" s="11" t="n">
        <v>2</v>
      </c>
      <c r="C12" s="12" t="n">
        <f aca="false">$C$2+A12-1</f>
        <v>46325</v>
      </c>
      <c r="D12" s="13" t="s">
        <v>43</v>
      </c>
      <c r="E12" s="14" t="s">
        <v>44</v>
      </c>
      <c r="F12" s="14" t="s">
        <v>45</v>
      </c>
      <c r="G12" s="14" t="s">
        <v>46</v>
      </c>
      <c r="H12" s="15" t="n">
        <v>2</v>
      </c>
      <c r="I12" s="11" t="s">
        <v>22</v>
      </c>
      <c r="J12" s="14"/>
    </row>
    <row r="13" customFormat="false" ht="23.85" hidden="false" customHeight="false" outlineLevel="0" collapsed="false">
      <c r="A13" s="11" t="n">
        <v>9</v>
      </c>
      <c r="B13" s="11" t="n">
        <v>2</v>
      </c>
      <c r="C13" s="12" t="n">
        <f aca="false">$C$2+A13-1</f>
        <v>46326</v>
      </c>
      <c r="D13" s="13" t="s">
        <v>47</v>
      </c>
      <c r="E13" s="14" t="s">
        <v>48</v>
      </c>
      <c r="F13" s="14" t="s">
        <v>49</v>
      </c>
      <c r="G13" s="14" t="s">
        <v>50</v>
      </c>
      <c r="H13" s="15" t="n">
        <v>2</v>
      </c>
      <c r="I13" s="11" t="s">
        <v>22</v>
      </c>
      <c r="J13" s="14"/>
    </row>
    <row r="14" customFormat="false" ht="23.85" hidden="false" customHeight="false" outlineLevel="0" collapsed="false">
      <c r="A14" s="11" t="n">
        <v>10</v>
      </c>
      <c r="B14" s="11" t="n">
        <v>2</v>
      </c>
      <c r="C14" s="12" t="n">
        <f aca="false">$C$2+A14-1</f>
        <v>46327</v>
      </c>
      <c r="D14" s="13" t="s">
        <v>51</v>
      </c>
      <c r="E14" s="14" t="s">
        <v>52</v>
      </c>
      <c r="F14" s="14" t="s">
        <v>53</v>
      </c>
      <c r="G14" s="14" t="s">
        <v>54</v>
      </c>
      <c r="H14" s="15" t="n">
        <v>2</v>
      </c>
      <c r="I14" s="11" t="s">
        <v>22</v>
      </c>
      <c r="J14" s="14"/>
    </row>
    <row r="15" customFormat="false" ht="23.85" hidden="false" customHeight="false" outlineLevel="0" collapsed="false">
      <c r="A15" s="11" t="n">
        <v>11</v>
      </c>
      <c r="B15" s="11" t="n">
        <v>2</v>
      </c>
      <c r="C15" s="12" t="n">
        <f aca="false">$C$2+A15-1</f>
        <v>46328</v>
      </c>
      <c r="D15" s="13" t="s">
        <v>55</v>
      </c>
      <c r="E15" s="14" t="s">
        <v>56</v>
      </c>
      <c r="F15" s="14" t="s">
        <v>57</v>
      </c>
      <c r="G15" s="14" t="s">
        <v>58</v>
      </c>
      <c r="H15" s="15" t="n">
        <v>2</v>
      </c>
      <c r="I15" s="11" t="s">
        <v>22</v>
      </c>
      <c r="J15" s="14"/>
    </row>
    <row r="16" customFormat="false" ht="23.85" hidden="false" customHeight="false" outlineLevel="0" collapsed="false">
      <c r="A16" s="11" t="n">
        <v>12</v>
      </c>
      <c r="B16" s="11" t="n">
        <v>2</v>
      </c>
      <c r="C16" s="12" t="n">
        <f aca="false">$C$2+A16-1</f>
        <v>46329</v>
      </c>
      <c r="D16" s="13" t="s">
        <v>59</v>
      </c>
      <c r="E16" s="14" t="s">
        <v>60</v>
      </c>
      <c r="F16" s="14" t="s">
        <v>61</v>
      </c>
      <c r="G16" s="14" t="s">
        <v>62</v>
      </c>
      <c r="H16" s="15" t="n">
        <v>2</v>
      </c>
      <c r="I16" s="11" t="s">
        <v>22</v>
      </c>
      <c r="J16" s="14"/>
    </row>
    <row r="17" customFormat="false" ht="23.85" hidden="false" customHeight="false" outlineLevel="0" collapsed="false">
      <c r="A17" s="11" t="n">
        <v>13</v>
      </c>
      <c r="B17" s="11" t="n">
        <v>2</v>
      </c>
      <c r="C17" s="12" t="n">
        <f aca="false">$C$2+A17-1</f>
        <v>46330</v>
      </c>
      <c r="D17" s="13" t="s">
        <v>63</v>
      </c>
      <c r="E17" s="14" t="s">
        <v>64</v>
      </c>
      <c r="F17" s="14" t="s">
        <v>65</v>
      </c>
      <c r="G17" s="14" t="s">
        <v>66</v>
      </c>
      <c r="H17" s="15" t="n">
        <v>2</v>
      </c>
      <c r="I17" s="11" t="s">
        <v>22</v>
      </c>
      <c r="J17" s="14"/>
    </row>
    <row r="18" customFormat="false" ht="23.85" hidden="false" customHeight="false" outlineLevel="0" collapsed="false">
      <c r="A18" s="11" t="n">
        <v>14</v>
      </c>
      <c r="B18" s="11" t="n">
        <v>2</v>
      </c>
      <c r="C18" s="12" t="n">
        <f aca="false">$C$2+A18-1</f>
        <v>46331</v>
      </c>
      <c r="D18" s="13" t="s">
        <v>67</v>
      </c>
      <c r="E18" s="14" t="s">
        <v>68</v>
      </c>
      <c r="F18" s="14" t="s">
        <v>69</v>
      </c>
      <c r="G18" s="14" t="s">
        <v>70</v>
      </c>
      <c r="H18" s="15" t="n">
        <v>3</v>
      </c>
      <c r="I18" s="11" t="s">
        <v>22</v>
      </c>
      <c r="J18" s="14"/>
    </row>
    <row r="19" customFormat="false" ht="35.05" hidden="false" customHeight="false" outlineLevel="0" collapsed="false">
      <c r="A19" s="16" t="n">
        <v>15</v>
      </c>
      <c r="B19" s="16" t="n">
        <v>3</v>
      </c>
      <c r="C19" s="17" t="n">
        <f aca="false">$C$2+A19-1</f>
        <v>46332</v>
      </c>
      <c r="D19" s="18" t="s">
        <v>71</v>
      </c>
      <c r="E19" s="19" t="s">
        <v>72</v>
      </c>
      <c r="F19" s="19" t="s">
        <v>73</v>
      </c>
      <c r="G19" s="19" t="s">
        <v>74</v>
      </c>
      <c r="H19" s="20" t="n">
        <v>2</v>
      </c>
      <c r="I19" s="16" t="s">
        <v>22</v>
      </c>
      <c r="J19" s="19"/>
    </row>
    <row r="20" customFormat="false" ht="23.85" hidden="false" customHeight="false" outlineLevel="0" collapsed="false">
      <c r="A20" s="16" t="n">
        <v>16</v>
      </c>
      <c r="B20" s="16" t="n">
        <v>3</v>
      </c>
      <c r="C20" s="17" t="n">
        <f aca="false">$C$2+A20-1</f>
        <v>46333</v>
      </c>
      <c r="D20" s="18" t="s">
        <v>75</v>
      </c>
      <c r="E20" s="19" t="s">
        <v>76</v>
      </c>
      <c r="F20" s="19" t="s">
        <v>77</v>
      </c>
      <c r="G20" s="19" t="s">
        <v>78</v>
      </c>
      <c r="H20" s="20" t="n">
        <v>2</v>
      </c>
      <c r="I20" s="16" t="s">
        <v>22</v>
      </c>
      <c r="J20" s="19"/>
    </row>
    <row r="21" customFormat="false" ht="23.85" hidden="false" customHeight="false" outlineLevel="0" collapsed="false">
      <c r="A21" s="16" t="n">
        <v>17</v>
      </c>
      <c r="B21" s="16" t="n">
        <v>3</v>
      </c>
      <c r="C21" s="17" t="n">
        <f aca="false">$C$2+A21-1</f>
        <v>46334</v>
      </c>
      <c r="D21" s="18" t="s">
        <v>79</v>
      </c>
      <c r="E21" s="19" t="s">
        <v>80</v>
      </c>
      <c r="F21" s="19" t="s">
        <v>81</v>
      </c>
      <c r="G21" s="19" t="s">
        <v>82</v>
      </c>
      <c r="H21" s="20" t="n">
        <v>2</v>
      </c>
      <c r="I21" s="16" t="s">
        <v>22</v>
      </c>
      <c r="J21" s="19"/>
    </row>
    <row r="22" customFormat="false" ht="23.85" hidden="false" customHeight="false" outlineLevel="0" collapsed="false">
      <c r="A22" s="16" t="n">
        <v>18</v>
      </c>
      <c r="B22" s="16" t="n">
        <v>3</v>
      </c>
      <c r="C22" s="17" t="n">
        <f aca="false">$C$2+A22-1</f>
        <v>46335</v>
      </c>
      <c r="D22" s="18" t="s">
        <v>83</v>
      </c>
      <c r="E22" s="19" t="s">
        <v>84</v>
      </c>
      <c r="F22" s="19" t="s">
        <v>85</v>
      </c>
      <c r="G22" s="19" t="s">
        <v>86</v>
      </c>
      <c r="H22" s="20" t="n">
        <v>2</v>
      </c>
      <c r="I22" s="16" t="s">
        <v>22</v>
      </c>
      <c r="J22" s="19"/>
    </row>
    <row r="23" customFormat="false" ht="23.85" hidden="false" customHeight="false" outlineLevel="0" collapsed="false">
      <c r="A23" s="16" t="n">
        <v>19</v>
      </c>
      <c r="B23" s="16" t="n">
        <v>3</v>
      </c>
      <c r="C23" s="17" t="n">
        <f aca="false">$C$2+A23-1</f>
        <v>46336</v>
      </c>
      <c r="D23" s="18" t="s">
        <v>87</v>
      </c>
      <c r="E23" s="19" t="s">
        <v>88</v>
      </c>
      <c r="F23" s="19" t="s">
        <v>89</v>
      </c>
      <c r="G23" s="19" t="s">
        <v>90</v>
      </c>
      <c r="H23" s="20" t="n">
        <v>2</v>
      </c>
      <c r="I23" s="16" t="s">
        <v>22</v>
      </c>
      <c r="J23" s="19"/>
    </row>
    <row r="24" customFormat="false" ht="23.85" hidden="false" customHeight="false" outlineLevel="0" collapsed="false">
      <c r="A24" s="16" t="n">
        <v>20</v>
      </c>
      <c r="B24" s="16" t="n">
        <v>3</v>
      </c>
      <c r="C24" s="17" t="n">
        <f aca="false">$C$2+A24-1</f>
        <v>46337</v>
      </c>
      <c r="D24" s="18" t="s">
        <v>91</v>
      </c>
      <c r="E24" s="19" t="s">
        <v>92</v>
      </c>
      <c r="F24" s="19" t="s">
        <v>93</v>
      </c>
      <c r="G24" s="19" t="s">
        <v>94</v>
      </c>
      <c r="H24" s="20" t="n">
        <v>2</v>
      </c>
      <c r="I24" s="16" t="s">
        <v>22</v>
      </c>
      <c r="J24" s="19"/>
    </row>
    <row r="25" customFormat="false" ht="23.85" hidden="false" customHeight="false" outlineLevel="0" collapsed="false">
      <c r="A25" s="16" t="n">
        <v>21</v>
      </c>
      <c r="B25" s="16" t="n">
        <v>3</v>
      </c>
      <c r="C25" s="17" t="n">
        <f aca="false">$C$2+A25-1</f>
        <v>46338</v>
      </c>
      <c r="D25" s="18" t="s">
        <v>95</v>
      </c>
      <c r="E25" s="19" t="s">
        <v>96</v>
      </c>
      <c r="F25" s="19" t="s">
        <v>97</v>
      </c>
      <c r="G25" s="19" t="s">
        <v>98</v>
      </c>
      <c r="H25" s="20" t="n">
        <v>3</v>
      </c>
      <c r="I25" s="16" t="s">
        <v>22</v>
      </c>
      <c r="J25" s="19"/>
    </row>
    <row r="26" customFormat="false" ht="46.25" hidden="false" customHeight="false" outlineLevel="0" collapsed="false">
      <c r="A26" s="21" t="n">
        <v>22</v>
      </c>
      <c r="B26" s="21" t="n">
        <v>4</v>
      </c>
      <c r="C26" s="22" t="n">
        <f aca="false">$C$2+A26-1</f>
        <v>46339</v>
      </c>
      <c r="D26" s="23" t="s">
        <v>99</v>
      </c>
      <c r="E26" s="24" t="s">
        <v>100</v>
      </c>
      <c r="F26" s="24" t="s">
        <v>101</v>
      </c>
      <c r="G26" s="24" t="s">
        <v>102</v>
      </c>
      <c r="H26" s="25" t="n">
        <v>2</v>
      </c>
      <c r="I26" s="21" t="s">
        <v>22</v>
      </c>
      <c r="J26" s="24"/>
    </row>
    <row r="27" customFormat="false" ht="23.85" hidden="false" customHeight="false" outlineLevel="0" collapsed="false">
      <c r="A27" s="21" t="n">
        <v>23</v>
      </c>
      <c r="B27" s="21" t="n">
        <v>4</v>
      </c>
      <c r="C27" s="22" t="n">
        <f aca="false">$C$2+A27-1</f>
        <v>46340</v>
      </c>
      <c r="D27" s="23" t="s">
        <v>103</v>
      </c>
      <c r="E27" s="24" t="s">
        <v>104</v>
      </c>
      <c r="F27" s="24" t="s">
        <v>105</v>
      </c>
      <c r="G27" s="24" t="s">
        <v>106</v>
      </c>
      <c r="H27" s="25" t="n">
        <v>2</v>
      </c>
      <c r="I27" s="21" t="s">
        <v>22</v>
      </c>
      <c r="J27" s="24"/>
    </row>
    <row r="28" customFormat="false" ht="23.85" hidden="false" customHeight="false" outlineLevel="0" collapsed="false">
      <c r="A28" s="21" t="n">
        <v>24</v>
      </c>
      <c r="B28" s="21" t="n">
        <v>4</v>
      </c>
      <c r="C28" s="22" t="n">
        <f aca="false">$C$2+A28-1</f>
        <v>46341</v>
      </c>
      <c r="D28" s="23" t="s">
        <v>107</v>
      </c>
      <c r="E28" s="24" t="s">
        <v>108</v>
      </c>
      <c r="F28" s="24" t="s">
        <v>109</v>
      </c>
      <c r="G28" s="24" t="s">
        <v>110</v>
      </c>
      <c r="H28" s="25" t="n">
        <v>2</v>
      </c>
      <c r="I28" s="21" t="s">
        <v>22</v>
      </c>
      <c r="J28" s="24"/>
    </row>
    <row r="29" customFormat="false" ht="23.85" hidden="false" customHeight="false" outlineLevel="0" collapsed="false">
      <c r="A29" s="21" t="n">
        <v>25</v>
      </c>
      <c r="B29" s="21" t="n">
        <v>4</v>
      </c>
      <c r="C29" s="22" t="n">
        <f aca="false">$C$2+A29-1</f>
        <v>46342</v>
      </c>
      <c r="D29" s="23" t="s">
        <v>111</v>
      </c>
      <c r="E29" s="24" t="s">
        <v>112</v>
      </c>
      <c r="F29" s="24" t="s">
        <v>113</v>
      </c>
      <c r="G29" s="24" t="s">
        <v>114</v>
      </c>
      <c r="H29" s="25" t="n">
        <v>2</v>
      </c>
      <c r="I29" s="21" t="s">
        <v>22</v>
      </c>
      <c r="J29" s="24"/>
    </row>
    <row r="30" customFormat="false" ht="23.85" hidden="false" customHeight="false" outlineLevel="0" collapsed="false">
      <c r="A30" s="21" t="n">
        <v>26</v>
      </c>
      <c r="B30" s="21" t="n">
        <v>4</v>
      </c>
      <c r="C30" s="22" t="n">
        <f aca="false">$C$2+A30-1</f>
        <v>46343</v>
      </c>
      <c r="D30" s="23" t="s">
        <v>115</v>
      </c>
      <c r="E30" s="24" t="s">
        <v>116</v>
      </c>
      <c r="F30" s="24" t="s">
        <v>117</v>
      </c>
      <c r="G30" s="24" t="s">
        <v>118</v>
      </c>
      <c r="H30" s="25" t="n">
        <v>2</v>
      </c>
      <c r="I30" s="21" t="s">
        <v>22</v>
      </c>
      <c r="J30" s="24"/>
    </row>
    <row r="31" customFormat="false" ht="35.05" hidden="false" customHeight="false" outlineLevel="0" collapsed="false">
      <c r="A31" s="21" t="n">
        <v>27</v>
      </c>
      <c r="B31" s="21" t="n">
        <v>4</v>
      </c>
      <c r="C31" s="22" t="n">
        <f aca="false">$C$2+A31-1</f>
        <v>46344</v>
      </c>
      <c r="D31" s="23" t="s">
        <v>119</v>
      </c>
      <c r="E31" s="24" t="s">
        <v>120</v>
      </c>
      <c r="F31" s="24" t="s">
        <v>121</v>
      </c>
      <c r="G31" s="24" t="s">
        <v>122</v>
      </c>
      <c r="H31" s="25" t="n">
        <v>3</v>
      </c>
      <c r="I31" s="21" t="s">
        <v>22</v>
      </c>
      <c r="J31" s="24"/>
    </row>
    <row r="32" customFormat="false" ht="35.05" hidden="false" customHeight="false" outlineLevel="0" collapsed="false">
      <c r="A32" s="21" t="n">
        <v>28</v>
      </c>
      <c r="B32" s="21" t="n">
        <v>4</v>
      </c>
      <c r="C32" s="22" t="n">
        <f aca="false">$C$2+A32-1</f>
        <v>46345</v>
      </c>
      <c r="D32" s="23" t="s">
        <v>123</v>
      </c>
      <c r="E32" s="24" t="s">
        <v>124</v>
      </c>
      <c r="F32" s="24" t="s">
        <v>125</v>
      </c>
      <c r="G32" s="24" t="s">
        <v>126</v>
      </c>
      <c r="H32" s="25" t="n">
        <v>3</v>
      </c>
      <c r="I32" s="21" t="s">
        <v>22</v>
      </c>
      <c r="J32" s="24"/>
    </row>
  </sheetData>
  <conditionalFormatting sqref="I5:I32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</conditionalFormatting>
  <dataValidations count="1">
    <dataValidation allowBlank="false" errorStyle="stop" operator="between" showDropDown="false" showErrorMessage="false" showInputMessage="false" sqref="I5:I32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85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127</v>
      </c>
    </row>
    <row r="2" customFormat="false" ht="15" hidden="false" customHeight="false" outlineLevel="0" collapsed="false">
      <c r="A2" s="4" t="s">
        <v>128</v>
      </c>
    </row>
    <row r="4" customFormat="false" ht="15" hidden="false" customHeight="false" outlineLevel="0" collapsed="false">
      <c r="A4" s="2" t="s">
        <v>129</v>
      </c>
      <c r="B4" s="26" t="n">
        <f aca="false">COUNTA(A9:A41)</f>
        <v>33</v>
      </c>
    </row>
    <row r="5" customFormat="false" ht="15" hidden="false" customHeight="false" outlineLevel="0" collapsed="false">
      <c r="A5" s="2" t="s">
        <v>17</v>
      </c>
      <c r="B5" s="26" t="n">
        <f aca="false">COUNTIF(G9:G41,"Done")</f>
        <v>0</v>
      </c>
    </row>
    <row r="6" customFormat="false" ht="15" hidden="false" customHeight="false" outlineLevel="0" collapsed="false">
      <c r="A6" s="2" t="s">
        <v>130</v>
      </c>
      <c r="B6" s="26" t="str">
        <f aca="false">COUNTIFS(E9:E41,"Must",G9:G41,"Done")&amp;" of "&amp;COUNTIF(E9:E41,"Must")</f>
        <v>0 of 19</v>
      </c>
    </row>
    <row r="8" customFormat="false" ht="26.85" hidden="false" customHeight="false" outlineLevel="0" collapsed="false">
      <c r="A8" s="5" t="s">
        <v>131</v>
      </c>
      <c r="B8" s="5" t="s">
        <v>132</v>
      </c>
      <c r="C8" s="5" t="s">
        <v>133</v>
      </c>
      <c r="D8" s="5" t="s">
        <v>134</v>
      </c>
      <c r="E8" s="5" t="s">
        <v>135</v>
      </c>
      <c r="F8" s="5" t="s">
        <v>136</v>
      </c>
      <c r="G8" s="5" t="s">
        <v>11</v>
      </c>
    </row>
    <row r="9" customFormat="false" ht="15" hidden="false" customHeight="false" outlineLevel="0" collapsed="false">
      <c r="A9" s="27" t="s">
        <v>137</v>
      </c>
      <c r="B9" s="28" t="s">
        <v>138</v>
      </c>
      <c r="C9" s="28" t="s">
        <v>139</v>
      </c>
      <c r="D9" s="28" t="s">
        <v>140</v>
      </c>
      <c r="E9" s="27" t="s">
        <v>141</v>
      </c>
      <c r="F9" s="27" t="n">
        <v>5</v>
      </c>
      <c r="G9" s="27" t="s">
        <v>22</v>
      </c>
    </row>
    <row r="10" customFormat="false" ht="15" hidden="false" customHeight="false" outlineLevel="0" collapsed="false">
      <c r="A10" s="27" t="s">
        <v>142</v>
      </c>
      <c r="B10" s="28" t="s">
        <v>138</v>
      </c>
      <c r="C10" s="28" t="s">
        <v>143</v>
      </c>
      <c r="D10" s="28" t="s">
        <v>140</v>
      </c>
      <c r="E10" s="27" t="s">
        <v>141</v>
      </c>
      <c r="F10" s="27" t="n">
        <v>5</v>
      </c>
      <c r="G10" s="27" t="s">
        <v>22</v>
      </c>
    </row>
    <row r="11" customFormat="false" ht="15" hidden="false" customHeight="false" outlineLevel="0" collapsed="false">
      <c r="A11" s="27" t="s">
        <v>144</v>
      </c>
      <c r="B11" s="28" t="s">
        <v>138</v>
      </c>
      <c r="C11" s="28" t="s">
        <v>145</v>
      </c>
      <c r="D11" s="28" t="s">
        <v>140</v>
      </c>
      <c r="E11" s="27" t="s">
        <v>146</v>
      </c>
      <c r="F11" s="27" t="n">
        <v>10</v>
      </c>
      <c r="G11" s="27" t="s">
        <v>22</v>
      </c>
    </row>
    <row r="12" customFormat="false" ht="15" hidden="false" customHeight="false" outlineLevel="0" collapsed="false">
      <c r="A12" s="27" t="s">
        <v>147</v>
      </c>
      <c r="B12" s="28" t="s">
        <v>138</v>
      </c>
      <c r="C12" s="28" t="s">
        <v>148</v>
      </c>
      <c r="D12" s="28" t="s">
        <v>140</v>
      </c>
      <c r="E12" s="27" t="s">
        <v>141</v>
      </c>
      <c r="F12" s="27" t="n">
        <v>5</v>
      </c>
      <c r="G12" s="27" t="s">
        <v>22</v>
      </c>
    </row>
    <row r="13" customFormat="false" ht="15" hidden="false" customHeight="false" outlineLevel="0" collapsed="false">
      <c r="A13" s="27" t="s">
        <v>149</v>
      </c>
      <c r="B13" s="28" t="s">
        <v>138</v>
      </c>
      <c r="C13" s="28" t="s">
        <v>150</v>
      </c>
      <c r="D13" s="28" t="s">
        <v>140</v>
      </c>
      <c r="E13" s="27" t="s">
        <v>146</v>
      </c>
      <c r="F13" s="27" t="n">
        <v>9</v>
      </c>
      <c r="G13" s="27" t="s">
        <v>22</v>
      </c>
    </row>
    <row r="14" customFormat="false" ht="15" hidden="false" customHeight="false" outlineLevel="0" collapsed="false">
      <c r="A14" s="27" t="s">
        <v>151</v>
      </c>
      <c r="B14" s="28" t="s">
        <v>138</v>
      </c>
      <c r="C14" s="28" t="s">
        <v>152</v>
      </c>
      <c r="D14" s="28" t="s">
        <v>140</v>
      </c>
      <c r="E14" s="27" t="s">
        <v>141</v>
      </c>
      <c r="F14" s="27" t="n">
        <v>18</v>
      </c>
      <c r="G14" s="27" t="s">
        <v>22</v>
      </c>
    </row>
    <row r="15" customFormat="false" ht="15" hidden="false" customHeight="false" outlineLevel="0" collapsed="false">
      <c r="A15" s="27" t="s">
        <v>153</v>
      </c>
      <c r="B15" s="28" t="s">
        <v>138</v>
      </c>
      <c r="C15" s="28" t="s">
        <v>154</v>
      </c>
      <c r="D15" s="28" t="s">
        <v>140</v>
      </c>
      <c r="E15" s="27" t="s">
        <v>141</v>
      </c>
      <c r="F15" s="27" t="n">
        <v>19</v>
      </c>
      <c r="G15" s="27" t="s">
        <v>22</v>
      </c>
    </row>
    <row r="16" customFormat="false" ht="15" hidden="false" customHeight="false" outlineLevel="0" collapsed="false">
      <c r="A16" s="27" t="s">
        <v>155</v>
      </c>
      <c r="B16" s="28" t="s">
        <v>138</v>
      </c>
      <c r="C16" s="28" t="s">
        <v>156</v>
      </c>
      <c r="D16" s="28" t="s">
        <v>140</v>
      </c>
      <c r="E16" s="27" t="s">
        <v>141</v>
      </c>
      <c r="F16" s="27" t="n">
        <v>19</v>
      </c>
      <c r="G16" s="27" t="s">
        <v>22</v>
      </c>
    </row>
    <row r="17" customFormat="false" ht="15" hidden="false" customHeight="false" outlineLevel="0" collapsed="false">
      <c r="A17" s="27" t="s">
        <v>157</v>
      </c>
      <c r="B17" s="28" t="s">
        <v>138</v>
      </c>
      <c r="C17" s="28" t="s">
        <v>158</v>
      </c>
      <c r="D17" s="28" t="s">
        <v>159</v>
      </c>
      <c r="E17" s="27" t="s">
        <v>141</v>
      </c>
      <c r="F17" s="27" t="n">
        <v>17</v>
      </c>
      <c r="G17" s="27" t="s">
        <v>22</v>
      </c>
    </row>
    <row r="18" customFormat="false" ht="15" hidden="false" customHeight="false" outlineLevel="0" collapsed="false">
      <c r="A18" s="27" t="s">
        <v>160</v>
      </c>
      <c r="B18" s="28" t="s">
        <v>138</v>
      </c>
      <c r="C18" s="28" t="s">
        <v>161</v>
      </c>
      <c r="D18" s="28" t="s">
        <v>159</v>
      </c>
      <c r="E18" s="27" t="s">
        <v>141</v>
      </c>
      <c r="F18" s="27" t="n">
        <v>17</v>
      </c>
      <c r="G18" s="27" t="s">
        <v>22</v>
      </c>
    </row>
    <row r="19" customFormat="false" ht="15" hidden="false" customHeight="false" outlineLevel="0" collapsed="false">
      <c r="A19" s="27" t="s">
        <v>162</v>
      </c>
      <c r="B19" s="28" t="s">
        <v>138</v>
      </c>
      <c r="C19" s="28" t="s">
        <v>163</v>
      </c>
      <c r="D19" s="28" t="s">
        <v>159</v>
      </c>
      <c r="E19" s="27" t="s">
        <v>141</v>
      </c>
      <c r="F19" s="27" t="n">
        <v>18</v>
      </c>
      <c r="G19" s="27" t="s">
        <v>22</v>
      </c>
    </row>
    <row r="20" customFormat="false" ht="15" hidden="false" customHeight="false" outlineLevel="0" collapsed="false">
      <c r="A20" s="27" t="s">
        <v>164</v>
      </c>
      <c r="B20" s="28" t="s">
        <v>138</v>
      </c>
      <c r="C20" s="28" t="s">
        <v>165</v>
      </c>
      <c r="D20" s="28" t="s">
        <v>159</v>
      </c>
      <c r="E20" s="27" t="s">
        <v>141</v>
      </c>
      <c r="F20" s="27" t="n">
        <v>17</v>
      </c>
      <c r="G20" s="27" t="s">
        <v>22</v>
      </c>
    </row>
    <row r="21" customFormat="false" ht="15" hidden="false" customHeight="false" outlineLevel="0" collapsed="false">
      <c r="A21" s="27" t="s">
        <v>166</v>
      </c>
      <c r="B21" s="28" t="s">
        <v>138</v>
      </c>
      <c r="C21" s="28" t="s">
        <v>167</v>
      </c>
      <c r="D21" s="28" t="s">
        <v>159</v>
      </c>
      <c r="E21" s="27" t="s">
        <v>141</v>
      </c>
      <c r="F21" s="27" t="n">
        <v>17</v>
      </c>
      <c r="G21" s="27" t="s">
        <v>22</v>
      </c>
    </row>
    <row r="22" customFormat="false" ht="15" hidden="false" customHeight="false" outlineLevel="0" collapsed="false">
      <c r="A22" s="27" t="s">
        <v>168</v>
      </c>
      <c r="B22" s="28" t="s">
        <v>138</v>
      </c>
      <c r="C22" s="28" t="s">
        <v>169</v>
      </c>
      <c r="D22" s="28" t="s">
        <v>159</v>
      </c>
      <c r="E22" s="27" t="s">
        <v>141</v>
      </c>
      <c r="F22" s="27" t="n">
        <v>17</v>
      </c>
      <c r="G22" s="27" t="s">
        <v>22</v>
      </c>
    </row>
    <row r="23" customFormat="false" ht="15" hidden="false" customHeight="false" outlineLevel="0" collapsed="false">
      <c r="A23" s="27" t="s">
        <v>170</v>
      </c>
      <c r="B23" s="28" t="s">
        <v>138</v>
      </c>
      <c r="C23" s="28" t="s">
        <v>171</v>
      </c>
      <c r="D23" s="28" t="s">
        <v>159</v>
      </c>
      <c r="E23" s="27" t="s">
        <v>146</v>
      </c>
      <c r="F23" s="27" t="n">
        <v>17</v>
      </c>
      <c r="G23" s="27" t="s">
        <v>22</v>
      </c>
    </row>
    <row r="24" customFormat="false" ht="15" hidden="false" customHeight="false" outlineLevel="0" collapsed="false">
      <c r="A24" s="27" t="s">
        <v>172</v>
      </c>
      <c r="B24" s="28" t="s">
        <v>138</v>
      </c>
      <c r="C24" s="28" t="s">
        <v>173</v>
      </c>
      <c r="D24" s="28" t="s">
        <v>159</v>
      </c>
      <c r="E24" s="27" t="s">
        <v>146</v>
      </c>
      <c r="F24" s="27" t="n">
        <v>19</v>
      </c>
      <c r="G24" s="27" t="s">
        <v>22</v>
      </c>
    </row>
    <row r="25" customFormat="false" ht="15" hidden="false" customHeight="false" outlineLevel="0" collapsed="false">
      <c r="A25" s="27" t="s">
        <v>174</v>
      </c>
      <c r="B25" s="28" t="s">
        <v>138</v>
      </c>
      <c r="C25" s="28" t="s">
        <v>175</v>
      </c>
      <c r="D25" s="28" t="s">
        <v>176</v>
      </c>
      <c r="E25" s="27" t="s">
        <v>146</v>
      </c>
      <c r="F25" s="27" t="n">
        <v>23</v>
      </c>
      <c r="G25" s="27" t="s">
        <v>22</v>
      </c>
    </row>
    <row r="26" customFormat="false" ht="15" hidden="false" customHeight="false" outlineLevel="0" collapsed="false">
      <c r="A26" s="27" t="s">
        <v>177</v>
      </c>
      <c r="B26" s="28" t="s">
        <v>138</v>
      </c>
      <c r="C26" s="28" t="s">
        <v>178</v>
      </c>
      <c r="D26" s="28" t="s">
        <v>179</v>
      </c>
      <c r="E26" s="27" t="s">
        <v>180</v>
      </c>
      <c r="F26" s="27" t="n">
        <v>24</v>
      </c>
      <c r="G26" s="27" t="s">
        <v>22</v>
      </c>
    </row>
    <row r="27" customFormat="false" ht="15" hidden="false" customHeight="false" outlineLevel="0" collapsed="false">
      <c r="A27" s="27" t="s">
        <v>181</v>
      </c>
      <c r="B27" s="28" t="s">
        <v>138</v>
      </c>
      <c r="C27" s="28" t="s">
        <v>182</v>
      </c>
      <c r="D27" s="28" t="s">
        <v>183</v>
      </c>
      <c r="E27" s="27" t="s">
        <v>180</v>
      </c>
      <c r="F27" s="27" t="n">
        <v>27</v>
      </c>
      <c r="G27" s="27" t="s">
        <v>22</v>
      </c>
    </row>
    <row r="28" customFormat="false" ht="15" hidden="false" customHeight="false" outlineLevel="0" collapsed="false">
      <c r="A28" s="27" t="s">
        <v>184</v>
      </c>
      <c r="B28" s="28" t="s">
        <v>185</v>
      </c>
      <c r="C28" s="28" t="s">
        <v>186</v>
      </c>
      <c r="D28" s="28" t="s">
        <v>187</v>
      </c>
      <c r="E28" s="27" t="s">
        <v>141</v>
      </c>
      <c r="F28" s="27" t="n">
        <v>16</v>
      </c>
      <c r="G28" s="27" t="s">
        <v>22</v>
      </c>
    </row>
    <row r="29" customFormat="false" ht="15" hidden="false" customHeight="false" outlineLevel="0" collapsed="false">
      <c r="A29" s="27" t="s">
        <v>188</v>
      </c>
      <c r="B29" s="28" t="s">
        <v>185</v>
      </c>
      <c r="C29" s="28" t="s">
        <v>189</v>
      </c>
      <c r="D29" s="28" t="s">
        <v>187</v>
      </c>
      <c r="E29" s="27" t="s">
        <v>141</v>
      </c>
      <c r="F29" s="27" t="n">
        <v>10</v>
      </c>
      <c r="G29" s="27" t="s">
        <v>22</v>
      </c>
    </row>
    <row r="30" customFormat="false" ht="15" hidden="false" customHeight="false" outlineLevel="0" collapsed="false">
      <c r="A30" s="27" t="s">
        <v>190</v>
      </c>
      <c r="B30" s="28" t="s">
        <v>185</v>
      </c>
      <c r="C30" s="28" t="s">
        <v>191</v>
      </c>
      <c r="D30" s="28" t="s">
        <v>187</v>
      </c>
      <c r="E30" s="27" t="s">
        <v>141</v>
      </c>
      <c r="F30" s="27" t="n">
        <v>11</v>
      </c>
      <c r="G30" s="27" t="s">
        <v>22</v>
      </c>
    </row>
    <row r="31" customFormat="false" ht="15" hidden="false" customHeight="false" outlineLevel="0" collapsed="false">
      <c r="A31" s="27" t="s">
        <v>192</v>
      </c>
      <c r="B31" s="28" t="s">
        <v>185</v>
      </c>
      <c r="C31" s="28" t="s">
        <v>193</v>
      </c>
      <c r="D31" s="28" t="s">
        <v>187</v>
      </c>
      <c r="E31" s="27" t="s">
        <v>141</v>
      </c>
      <c r="F31" s="27" t="n">
        <v>12</v>
      </c>
      <c r="G31" s="27" t="s">
        <v>22</v>
      </c>
    </row>
    <row r="32" customFormat="false" ht="15" hidden="false" customHeight="false" outlineLevel="0" collapsed="false">
      <c r="A32" s="27" t="s">
        <v>194</v>
      </c>
      <c r="B32" s="28" t="s">
        <v>185</v>
      </c>
      <c r="C32" s="28" t="s">
        <v>195</v>
      </c>
      <c r="D32" s="28" t="s">
        <v>187</v>
      </c>
      <c r="E32" s="27" t="s">
        <v>141</v>
      </c>
      <c r="F32" s="27" t="n">
        <v>12</v>
      </c>
      <c r="G32" s="27" t="s">
        <v>22</v>
      </c>
    </row>
    <row r="33" customFormat="false" ht="15" hidden="false" customHeight="false" outlineLevel="0" collapsed="false">
      <c r="A33" s="27" t="s">
        <v>196</v>
      </c>
      <c r="B33" s="28" t="s">
        <v>185</v>
      </c>
      <c r="C33" s="28" t="s">
        <v>197</v>
      </c>
      <c r="D33" s="28" t="s">
        <v>187</v>
      </c>
      <c r="E33" s="27" t="s">
        <v>146</v>
      </c>
      <c r="F33" s="27" t="n">
        <v>13</v>
      </c>
      <c r="G33" s="27" t="s">
        <v>22</v>
      </c>
    </row>
    <row r="34" customFormat="false" ht="15" hidden="false" customHeight="false" outlineLevel="0" collapsed="false">
      <c r="A34" s="27" t="s">
        <v>198</v>
      </c>
      <c r="B34" s="28" t="s">
        <v>185</v>
      </c>
      <c r="C34" s="28" t="s">
        <v>199</v>
      </c>
      <c r="D34" s="28" t="s">
        <v>187</v>
      </c>
      <c r="E34" s="27" t="s">
        <v>146</v>
      </c>
      <c r="F34" s="27" t="n">
        <v>14</v>
      </c>
      <c r="G34" s="27" t="s">
        <v>22</v>
      </c>
    </row>
    <row r="35" customFormat="false" ht="15" hidden="false" customHeight="false" outlineLevel="0" collapsed="false">
      <c r="A35" s="27" t="s">
        <v>200</v>
      </c>
      <c r="B35" s="28" t="s">
        <v>185</v>
      </c>
      <c r="C35" s="28" t="s">
        <v>201</v>
      </c>
      <c r="D35" s="28" t="s">
        <v>187</v>
      </c>
      <c r="E35" s="27" t="s">
        <v>146</v>
      </c>
      <c r="F35" s="27" t="n">
        <v>6</v>
      </c>
      <c r="G35" s="27" t="s">
        <v>22</v>
      </c>
    </row>
    <row r="36" customFormat="false" ht="15" hidden="false" customHeight="false" outlineLevel="0" collapsed="false">
      <c r="A36" s="27" t="s">
        <v>202</v>
      </c>
      <c r="B36" s="28" t="s">
        <v>185</v>
      </c>
      <c r="C36" s="28" t="s">
        <v>203</v>
      </c>
      <c r="D36" s="28" t="s">
        <v>187</v>
      </c>
      <c r="E36" s="27" t="s">
        <v>146</v>
      </c>
      <c r="F36" s="27" t="n">
        <v>6</v>
      </c>
      <c r="G36" s="27" t="s">
        <v>22</v>
      </c>
    </row>
    <row r="37" customFormat="false" ht="15" hidden="false" customHeight="false" outlineLevel="0" collapsed="false">
      <c r="A37" s="27" t="s">
        <v>204</v>
      </c>
      <c r="B37" s="28" t="s">
        <v>185</v>
      </c>
      <c r="C37" s="28" t="s">
        <v>205</v>
      </c>
      <c r="D37" s="28" t="s">
        <v>159</v>
      </c>
      <c r="E37" s="27" t="s">
        <v>146</v>
      </c>
      <c r="F37" s="27" t="n">
        <v>20</v>
      </c>
      <c r="G37" s="27" t="s">
        <v>22</v>
      </c>
    </row>
    <row r="38" customFormat="false" ht="15" hidden="false" customHeight="false" outlineLevel="0" collapsed="false">
      <c r="A38" s="27" t="s">
        <v>206</v>
      </c>
      <c r="B38" s="28" t="s">
        <v>185</v>
      </c>
      <c r="C38" s="28" t="s">
        <v>207</v>
      </c>
      <c r="D38" s="28" t="s">
        <v>187</v>
      </c>
      <c r="E38" s="27" t="s">
        <v>146</v>
      </c>
      <c r="F38" s="27" t="n">
        <v>26</v>
      </c>
      <c r="G38" s="27" t="s">
        <v>22</v>
      </c>
    </row>
    <row r="39" customFormat="false" ht="15" hidden="false" customHeight="false" outlineLevel="0" collapsed="false">
      <c r="A39" s="27" t="s">
        <v>208</v>
      </c>
      <c r="B39" s="28" t="s">
        <v>185</v>
      </c>
      <c r="C39" s="28" t="s">
        <v>209</v>
      </c>
      <c r="D39" s="28" t="s">
        <v>187</v>
      </c>
      <c r="E39" s="27" t="s">
        <v>141</v>
      </c>
      <c r="F39" s="27" t="n">
        <v>28</v>
      </c>
      <c r="G39" s="27" t="s">
        <v>22</v>
      </c>
    </row>
    <row r="40" customFormat="false" ht="15" hidden="false" customHeight="false" outlineLevel="0" collapsed="false">
      <c r="A40" s="27" t="s">
        <v>210</v>
      </c>
      <c r="B40" s="28" t="s">
        <v>185</v>
      </c>
      <c r="C40" s="28" t="s">
        <v>211</v>
      </c>
      <c r="D40" s="28" t="s">
        <v>187</v>
      </c>
      <c r="E40" s="27" t="s">
        <v>141</v>
      </c>
      <c r="F40" s="27" t="n">
        <v>1</v>
      </c>
      <c r="G40" s="27" t="s">
        <v>22</v>
      </c>
    </row>
    <row r="41" customFormat="false" ht="15" hidden="false" customHeight="false" outlineLevel="0" collapsed="false">
      <c r="A41" s="27" t="s">
        <v>212</v>
      </c>
      <c r="B41" s="28" t="s">
        <v>185</v>
      </c>
      <c r="C41" s="28" t="s">
        <v>213</v>
      </c>
      <c r="D41" s="28" t="s">
        <v>159</v>
      </c>
      <c r="E41" s="27" t="s">
        <v>180</v>
      </c>
      <c r="F41" s="27" t="n">
        <v>21</v>
      </c>
      <c r="G41" s="27" t="s">
        <v>22</v>
      </c>
    </row>
  </sheetData>
  <conditionalFormatting sqref="G9:G41">
    <cfRule type="cellIs" priority="2" operator="equal" aboveAverage="0" equalAverage="0" bottom="0" percent="0" rank="0" text="" dxfId="0">
      <formula>"Done"</formula>
    </cfRule>
  </conditionalFormatting>
  <conditionalFormatting sqref="E9:E41">
    <cfRule type="cellIs" priority="3" operator="equal" aboveAverage="0" equalAverage="0" bottom="0" percent="0" rank="0" text="" dxfId="2">
      <formula>"Must"</formula>
    </cfRule>
  </conditionalFormatting>
  <dataValidations count="2">
    <dataValidation allowBlank="false" errorStyle="stop" operator="between" showDropDown="false" showErrorMessage="false" showInputMessage="false" sqref="G9:G41" type="list">
      <formula1>"Not started,In progress,Done"</formula1>
      <formula2>0</formula2>
    </dataValidation>
    <dataValidation allowBlank="false" errorStyle="stop" operator="between" showDropDown="false" showErrorMessage="false" showInputMessage="false" sqref="E9:E41" type="list">
      <formula1>"Must,Should,Could"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36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1" t="s">
        <v>214</v>
      </c>
    </row>
    <row r="2" customFormat="false" ht="15" hidden="false" customHeight="false" outlineLevel="0" collapsed="false">
      <c r="A2" s="4" t="s">
        <v>215</v>
      </c>
    </row>
    <row r="4" customFormat="false" ht="15" hidden="false" customHeight="false" outlineLevel="0" collapsed="false">
      <c r="A4" s="5" t="s">
        <v>134</v>
      </c>
      <c r="B4" s="5" t="s">
        <v>216</v>
      </c>
      <c r="C4" s="5" t="s">
        <v>217</v>
      </c>
      <c r="D4" s="5" t="s">
        <v>218</v>
      </c>
      <c r="E4" s="5" t="s">
        <v>219</v>
      </c>
      <c r="F4" s="5" t="s">
        <v>220</v>
      </c>
    </row>
    <row r="5" customFormat="false" ht="15" hidden="false" customHeight="false" outlineLevel="0" collapsed="false">
      <c r="A5" s="28" t="s">
        <v>140</v>
      </c>
      <c r="B5" s="28" t="s">
        <v>221</v>
      </c>
      <c r="C5" s="29" t="s">
        <v>222</v>
      </c>
      <c r="D5" s="28" t="s">
        <v>223</v>
      </c>
      <c r="E5" s="28" t="s">
        <v>224</v>
      </c>
      <c r="F5" s="28" t="s">
        <v>225</v>
      </c>
    </row>
    <row r="6" customFormat="false" ht="15" hidden="false" customHeight="false" outlineLevel="0" collapsed="false">
      <c r="A6" s="28" t="s">
        <v>140</v>
      </c>
      <c r="B6" s="28" t="s">
        <v>221</v>
      </c>
      <c r="C6" s="29" t="s">
        <v>226</v>
      </c>
      <c r="D6" s="28" t="s">
        <v>227</v>
      </c>
      <c r="E6" s="28" t="s">
        <v>228</v>
      </c>
      <c r="F6" s="28" t="s">
        <v>229</v>
      </c>
    </row>
    <row r="7" customFormat="false" ht="15" hidden="false" customHeight="false" outlineLevel="0" collapsed="false">
      <c r="A7" s="28" t="s">
        <v>140</v>
      </c>
      <c r="B7" s="28" t="s">
        <v>221</v>
      </c>
      <c r="C7" s="29" t="s">
        <v>230</v>
      </c>
      <c r="D7" s="28" t="s">
        <v>231</v>
      </c>
      <c r="E7" s="28" t="s">
        <v>232</v>
      </c>
      <c r="F7" s="28" t="s">
        <v>233</v>
      </c>
    </row>
    <row r="8" customFormat="false" ht="15" hidden="false" customHeight="false" outlineLevel="0" collapsed="false">
      <c r="A8" s="28" t="s">
        <v>140</v>
      </c>
      <c r="B8" s="28" t="s">
        <v>221</v>
      </c>
      <c r="C8" s="29" t="s">
        <v>234</v>
      </c>
      <c r="D8" s="28" t="s">
        <v>235</v>
      </c>
      <c r="E8" s="28" t="s">
        <v>236</v>
      </c>
      <c r="F8" s="28" t="s">
        <v>237</v>
      </c>
    </row>
    <row r="9" customFormat="false" ht="15" hidden="false" customHeight="false" outlineLevel="0" collapsed="false">
      <c r="A9" s="28" t="s">
        <v>140</v>
      </c>
      <c r="B9" s="28" t="s">
        <v>221</v>
      </c>
      <c r="C9" s="29" t="s">
        <v>238</v>
      </c>
      <c r="D9" s="28" t="s">
        <v>239</v>
      </c>
      <c r="E9" s="28" t="s">
        <v>240</v>
      </c>
      <c r="F9" s="28" t="s">
        <v>241</v>
      </c>
    </row>
    <row r="10" customFormat="false" ht="15" hidden="false" customHeight="false" outlineLevel="0" collapsed="false">
      <c r="A10" s="28" t="s">
        <v>140</v>
      </c>
      <c r="B10" s="28" t="s">
        <v>221</v>
      </c>
      <c r="C10" s="29" t="s">
        <v>242</v>
      </c>
      <c r="D10" s="28" t="s">
        <v>243</v>
      </c>
      <c r="E10" s="28" t="s">
        <v>244</v>
      </c>
      <c r="F10" s="28" t="s">
        <v>245</v>
      </c>
    </row>
    <row r="11" customFormat="false" ht="15" hidden="false" customHeight="false" outlineLevel="0" collapsed="false">
      <c r="A11" s="28" t="s">
        <v>140</v>
      </c>
      <c r="B11" s="28" t="s">
        <v>221</v>
      </c>
      <c r="C11" s="29" t="s">
        <v>246</v>
      </c>
      <c r="D11" s="28" t="s">
        <v>247</v>
      </c>
      <c r="E11" s="28" t="s">
        <v>248</v>
      </c>
      <c r="F11" s="28" t="s">
        <v>249</v>
      </c>
    </row>
    <row r="12" customFormat="false" ht="15" hidden="false" customHeight="false" outlineLevel="0" collapsed="false">
      <c r="A12" s="28" t="s">
        <v>140</v>
      </c>
      <c r="B12" s="28" t="s">
        <v>221</v>
      </c>
      <c r="C12" s="29" t="s">
        <v>250</v>
      </c>
      <c r="D12" s="28" t="s">
        <v>247</v>
      </c>
      <c r="E12" s="28" t="s">
        <v>251</v>
      </c>
      <c r="F12" s="28" t="s">
        <v>252</v>
      </c>
    </row>
    <row r="13" customFormat="false" ht="15" hidden="false" customHeight="false" outlineLevel="0" collapsed="false">
      <c r="A13" s="28" t="s">
        <v>140</v>
      </c>
      <c r="B13" s="28" t="s">
        <v>221</v>
      </c>
      <c r="C13" s="29" t="s">
        <v>253</v>
      </c>
      <c r="D13" s="28" t="s">
        <v>254</v>
      </c>
      <c r="E13" s="28" t="s">
        <v>255</v>
      </c>
      <c r="F13" s="28" t="s">
        <v>256</v>
      </c>
    </row>
    <row r="14" customFormat="false" ht="15" hidden="false" customHeight="false" outlineLevel="0" collapsed="false">
      <c r="A14" s="28" t="s">
        <v>140</v>
      </c>
      <c r="B14" s="28" t="s">
        <v>221</v>
      </c>
      <c r="C14" s="29" t="s">
        <v>257</v>
      </c>
      <c r="D14" s="28" t="s">
        <v>258</v>
      </c>
      <c r="E14" s="28" t="s">
        <v>259</v>
      </c>
      <c r="F14" s="28" t="s">
        <v>260</v>
      </c>
    </row>
    <row r="15" customFormat="false" ht="15" hidden="false" customHeight="false" outlineLevel="0" collapsed="false">
      <c r="A15" s="28" t="s">
        <v>140</v>
      </c>
      <c r="B15" s="28" t="s">
        <v>221</v>
      </c>
      <c r="C15" s="29" t="s">
        <v>261</v>
      </c>
      <c r="D15" s="28" t="s">
        <v>258</v>
      </c>
      <c r="E15" s="28" t="s">
        <v>259</v>
      </c>
      <c r="F15" s="28" t="s">
        <v>260</v>
      </c>
    </row>
    <row r="16" customFormat="false" ht="15" hidden="false" customHeight="false" outlineLevel="0" collapsed="false">
      <c r="A16" s="28" t="s">
        <v>140</v>
      </c>
      <c r="B16" s="28" t="s">
        <v>262</v>
      </c>
      <c r="C16" s="29" t="s">
        <v>222</v>
      </c>
      <c r="D16" s="28" t="s">
        <v>223</v>
      </c>
      <c r="E16" s="28" t="s">
        <v>263</v>
      </c>
      <c r="F16" s="28" t="s">
        <v>264</v>
      </c>
    </row>
    <row r="17" customFormat="false" ht="15" hidden="false" customHeight="false" outlineLevel="0" collapsed="false">
      <c r="A17" s="28" t="s">
        <v>140</v>
      </c>
      <c r="B17" s="28" t="s">
        <v>262</v>
      </c>
      <c r="C17" s="29" t="s">
        <v>265</v>
      </c>
      <c r="D17" s="28" t="s">
        <v>266</v>
      </c>
      <c r="E17" s="28" t="s">
        <v>267</v>
      </c>
      <c r="F17" s="28" t="s">
        <v>268</v>
      </c>
    </row>
    <row r="18" customFormat="false" ht="15" hidden="false" customHeight="false" outlineLevel="0" collapsed="false">
      <c r="A18" s="28" t="s">
        <v>140</v>
      </c>
      <c r="B18" s="28" t="s">
        <v>262</v>
      </c>
      <c r="C18" s="29" t="s">
        <v>226</v>
      </c>
      <c r="D18" s="28" t="s">
        <v>227</v>
      </c>
      <c r="E18" s="28" t="s">
        <v>232</v>
      </c>
      <c r="F18" s="28" t="s">
        <v>269</v>
      </c>
    </row>
    <row r="19" customFormat="false" ht="15" hidden="false" customHeight="false" outlineLevel="0" collapsed="false">
      <c r="A19" s="28" t="s">
        <v>140</v>
      </c>
      <c r="B19" s="28" t="s">
        <v>262</v>
      </c>
      <c r="C19" s="29" t="s">
        <v>270</v>
      </c>
      <c r="D19" s="28" t="s">
        <v>247</v>
      </c>
      <c r="E19" s="28" t="s">
        <v>271</v>
      </c>
      <c r="F19" s="28" t="s">
        <v>272</v>
      </c>
    </row>
    <row r="20" customFormat="false" ht="15" hidden="false" customHeight="false" outlineLevel="0" collapsed="false">
      <c r="A20" s="28" t="s">
        <v>140</v>
      </c>
      <c r="B20" s="28" t="s">
        <v>262</v>
      </c>
      <c r="C20" s="29" t="s">
        <v>273</v>
      </c>
      <c r="D20" s="28" t="s">
        <v>274</v>
      </c>
      <c r="E20" s="28" t="s">
        <v>275</v>
      </c>
      <c r="F20" s="28" t="s">
        <v>276</v>
      </c>
    </row>
    <row r="21" customFormat="false" ht="15" hidden="false" customHeight="false" outlineLevel="0" collapsed="false">
      <c r="A21" s="28" t="s">
        <v>159</v>
      </c>
      <c r="B21" s="28" t="s">
        <v>277</v>
      </c>
      <c r="C21" s="29" t="s">
        <v>222</v>
      </c>
      <c r="D21" s="28" t="s">
        <v>223</v>
      </c>
      <c r="E21" s="28" t="s">
        <v>224</v>
      </c>
      <c r="F21" s="28" t="s">
        <v>225</v>
      </c>
    </row>
    <row r="22" customFormat="false" ht="15" hidden="false" customHeight="false" outlineLevel="0" collapsed="false">
      <c r="A22" s="28" t="s">
        <v>159</v>
      </c>
      <c r="B22" s="28" t="s">
        <v>277</v>
      </c>
      <c r="C22" s="29" t="s">
        <v>265</v>
      </c>
      <c r="D22" s="28" t="s">
        <v>266</v>
      </c>
      <c r="E22" s="28" t="s">
        <v>228</v>
      </c>
      <c r="F22" s="28" t="s">
        <v>278</v>
      </c>
    </row>
    <row r="23" customFormat="false" ht="15" hidden="false" customHeight="false" outlineLevel="0" collapsed="false">
      <c r="A23" s="28" t="s">
        <v>159</v>
      </c>
      <c r="B23" s="28" t="s">
        <v>277</v>
      </c>
      <c r="C23" s="29" t="s">
        <v>279</v>
      </c>
      <c r="D23" s="28" t="s">
        <v>280</v>
      </c>
      <c r="E23" s="28" t="s">
        <v>232</v>
      </c>
      <c r="F23" s="28" t="s">
        <v>281</v>
      </c>
    </row>
    <row r="24" customFormat="false" ht="15" hidden="false" customHeight="false" outlineLevel="0" collapsed="false">
      <c r="A24" s="28" t="s">
        <v>159</v>
      </c>
      <c r="B24" s="28" t="s">
        <v>277</v>
      </c>
      <c r="C24" s="29" t="s">
        <v>282</v>
      </c>
      <c r="D24" s="28" t="s">
        <v>283</v>
      </c>
      <c r="E24" s="28" t="s">
        <v>284</v>
      </c>
      <c r="F24" s="28" t="s">
        <v>285</v>
      </c>
    </row>
    <row r="25" customFormat="false" ht="15" hidden="false" customHeight="false" outlineLevel="0" collapsed="false">
      <c r="A25" s="28" t="s">
        <v>159</v>
      </c>
      <c r="B25" s="28" t="s">
        <v>277</v>
      </c>
      <c r="C25" s="29" t="s">
        <v>286</v>
      </c>
      <c r="D25" s="28" t="s">
        <v>274</v>
      </c>
      <c r="E25" s="28" t="s">
        <v>236</v>
      </c>
      <c r="F25" s="28" t="s">
        <v>287</v>
      </c>
    </row>
    <row r="26" customFormat="false" ht="15" hidden="false" customHeight="false" outlineLevel="0" collapsed="false">
      <c r="A26" s="28" t="s">
        <v>159</v>
      </c>
      <c r="B26" s="28" t="s">
        <v>277</v>
      </c>
      <c r="C26" s="29" t="s">
        <v>288</v>
      </c>
      <c r="D26" s="28" t="s">
        <v>289</v>
      </c>
      <c r="E26" s="28" t="s">
        <v>232</v>
      </c>
      <c r="F26" s="28" t="s">
        <v>290</v>
      </c>
    </row>
    <row r="27" customFormat="false" ht="15" hidden="false" customHeight="false" outlineLevel="0" collapsed="false">
      <c r="A27" s="28" t="s">
        <v>159</v>
      </c>
      <c r="B27" s="28" t="s">
        <v>277</v>
      </c>
      <c r="C27" s="29" t="s">
        <v>291</v>
      </c>
      <c r="D27" s="28" t="s">
        <v>239</v>
      </c>
      <c r="E27" s="28" t="s">
        <v>232</v>
      </c>
      <c r="F27" s="28" t="s">
        <v>292</v>
      </c>
    </row>
    <row r="28" customFormat="false" ht="15" hidden="false" customHeight="false" outlineLevel="0" collapsed="false">
      <c r="A28" s="28" t="s">
        <v>159</v>
      </c>
      <c r="B28" s="28" t="s">
        <v>277</v>
      </c>
      <c r="C28" s="29" t="s">
        <v>293</v>
      </c>
      <c r="D28" s="28" t="s">
        <v>239</v>
      </c>
      <c r="E28" s="28" t="s">
        <v>232</v>
      </c>
      <c r="F28" s="28" t="s">
        <v>294</v>
      </c>
    </row>
    <row r="29" customFormat="false" ht="15" hidden="false" customHeight="false" outlineLevel="0" collapsed="false">
      <c r="A29" s="28" t="s">
        <v>159</v>
      </c>
      <c r="B29" s="28" t="s">
        <v>277</v>
      </c>
      <c r="C29" s="29" t="s">
        <v>295</v>
      </c>
      <c r="D29" s="28" t="s">
        <v>296</v>
      </c>
      <c r="E29" s="28" t="s">
        <v>232</v>
      </c>
      <c r="F29" s="28" t="s">
        <v>297</v>
      </c>
    </row>
    <row r="30" customFormat="false" ht="23.85" hidden="false" customHeight="false" outlineLevel="0" collapsed="false">
      <c r="A30" s="28" t="s">
        <v>159</v>
      </c>
      <c r="B30" s="28" t="s">
        <v>277</v>
      </c>
      <c r="C30" s="29" t="s">
        <v>273</v>
      </c>
      <c r="D30" s="28" t="s">
        <v>274</v>
      </c>
      <c r="E30" s="28" t="s">
        <v>298</v>
      </c>
      <c r="F30" s="28" t="s">
        <v>299</v>
      </c>
    </row>
    <row r="31" customFormat="false" ht="15" hidden="false" customHeight="false" outlineLevel="0" collapsed="false">
      <c r="A31" s="28" t="s">
        <v>159</v>
      </c>
      <c r="B31" s="28" t="s">
        <v>277</v>
      </c>
      <c r="C31" s="29" t="s">
        <v>300</v>
      </c>
      <c r="D31" s="28" t="s">
        <v>301</v>
      </c>
      <c r="E31" s="28" t="s">
        <v>232</v>
      </c>
      <c r="F31" s="28" t="s">
        <v>302</v>
      </c>
    </row>
    <row r="32" customFormat="false" ht="15" hidden="false" customHeight="false" outlineLevel="0" collapsed="false">
      <c r="A32" s="28" t="s">
        <v>159</v>
      </c>
      <c r="B32" s="28" t="s">
        <v>277</v>
      </c>
      <c r="C32" s="29" t="s">
        <v>303</v>
      </c>
      <c r="D32" s="28" t="s">
        <v>304</v>
      </c>
      <c r="E32" s="28" t="s">
        <v>236</v>
      </c>
      <c r="F32" s="28" t="s">
        <v>305</v>
      </c>
    </row>
    <row r="33" customFormat="false" ht="15" hidden="false" customHeight="false" outlineLevel="0" collapsed="false">
      <c r="A33" s="28" t="s">
        <v>159</v>
      </c>
      <c r="B33" s="28" t="s">
        <v>277</v>
      </c>
      <c r="C33" s="29" t="s">
        <v>257</v>
      </c>
      <c r="D33" s="28" t="s">
        <v>258</v>
      </c>
      <c r="E33" s="28" t="s">
        <v>259</v>
      </c>
      <c r="F33" s="28" t="s">
        <v>260</v>
      </c>
    </row>
    <row r="34" customFormat="false" ht="15" hidden="false" customHeight="false" outlineLevel="0" collapsed="false">
      <c r="A34" s="28" t="s">
        <v>159</v>
      </c>
      <c r="B34" s="28" t="s">
        <v>277</v>
      </c>
      <c r="C34" s="29" t="s">
        <v>261</v>
      </c>
      <c r="D34" s="28" t="s">
        <v>258</v>
      </c>
      <c r="E34" s="28" t="s">
        <v>259</v>
      </c>
      <c r="F34" s="28" t="s">
        <v>260</v>
      </c>
    </row>
    <row r="35" customFormat="false" ht="15" hidden="false" customHeight="false" outlineLevel="0" collapsed="false">
      <c r="A35" s="28" t="s">
        <v>159</v>
      </c>
      <c r="B35" s="28" t="s">
        <v>306</v>
      </c>
      <c r="C35" s="29" t="s">
        <v>222</v>
      </c>
      <c r="D35" s="28" t="s">
        <v>223</v>
      </c>
      <c r="E35" s="28" t="s">
        <v>224</v>
      </c>
      <c r="F35" s="28" t="s">
        <v>225</v>
      </c>
    </row>
    <row r="36" customFormat="false" ht="15" hidden="false" customHeight="false" outlineLevel="0" collapsed="false">
      <c r="A36" s="28" t="s">
        <v>159</v>
      </c>
      <c r="B36" s="28" t="s">
        <v>306</v>
      </c>
      <c r="C36" s="29" t="s">
        <v>307</v>
      </c>
      <c r="D36" s="28" t="s">
        <v>223</v>
      </c>
      <c r="E36" s="28" t="s">
        <v>308</v>
      </c>
      <c r="F36" s="28" t="s">
        <v>309</v>
      </c>
    </row>
    <row r="37" customFormat="false" ht="15" hidden="false" customHeight="false" outlineLevel="0" collapsed="false">
      <c r="A37" s="28" t="s">
        <v>159</v>
      </c>
      <c r="B37" s="28" t="s">
        <v>306</v>
      </c>
      <c r="C37" s="29" t="s">
        <v>226</v>
      </c>
      <c r="D37" s="28" t="s">
        <v>227</v>
      </c>
      <c r="E37" s="28" t="s">
        <v>232</v>
      </c>
      <c r="F37" s="28" t="s">
        <v>310</v>
      </c>
    </row>
    <row r="38" customFormat="false" ht="15" hidden="false" customHeight="false" outlineLevel="0" collapsed="false">
      <c r="A38" s="28" t="s">
        <v>159</v>
      </c>
      <c r="B38" s="28" t="s">
        <v>306</v>
      </c>
      <c r="C38" s="29" t="s">
        <v>311</v>
      </c>
      <c r="D38" s="28" t="s">
        <v>231</v>
      </c>
      <c r="E38" s="28" t="s">
        <v>232</v>
      </c>
      <c r="F38" s="28" t="s">
        <v>312</v>
      </c>
    </row>
    <row r="39" customFormat="false" ht="15" hidden="false" customHeight="false" outlineLevel="0" collapsed="false">
      <c r="A39" s="28" t="s">
        <v>159</v>
      </c>
      <c r="B39" s="28" t="s">
        <v>306</v>
      </c>
      <c r="C39" s="29" t="s">
        <v>270</v>
      </c>
      <c r="D39" s="28" t="s">
        <v>247</v>
      </c>
      <c r="E39" s="28" t="s">
        <v>244</v>
      </c>
      <c r="F39" s="28" t="s">
        <v>313</v>
      </c>
    </row>
    <row r="40" customFormat="false" ht="15" hidden="false" customHeight="false" outlineLevel="0" collapsed="false">
      <c r="A40" s="28" t="s">
        <v>159</v>
      </c>
      <c r="B40" s="28" t="s">
        <v>306</v>
      </c>
      <c r="C40" s="29" t="s">
        <v>314</v>
      </c>
      <c r="D40" s="28" t="s">
        <v>243</v>
      </c>
      <c r="E40" s="28" t="s">
        <v>232</v>
      </c>
      <c r="F40" s="28" t="s">
        <v>315</v>
      </c>
    </row>
    <row r="41" customFormat="false" ht="15" hidden="false" customHeight="false" outlineLevel="0" collapsed="false">
      <c r="A41" s="28" t="s">
        <v>159</v>
      </c>
      <c r="B41" s="28" t="s">
        <v>306</v>
      </c>
      <c r="C41" s="29" t="s">
        <v>316</v>
      </c>
      <c r="D41" s="28" t="s">
        <v>301</v>
      </c>
      <c r="E41" s="28" t="s">
        <v>232</v>
      </c>
      <c r="F41" s="28" t="s">
        <v>317</v>
      </c>
    </row>
    <row r="42" customFormat="false" ht="15" hidden="false" customHeight="false" outlineLevel="0" collapsed="false">
      <c r="A42" s="28" t="s">
        <v>318</v>
      </c>
      <c r="B42" s="28" t="s">
        <v>319</v>
      </c>
      <c r="C42" s="29" t="s">
        <v>222</v>
      </c>
      <c r="D42" s="28" t="s">
        <v>223</v>
      </c>
      <c r="E42" s="28" t="s">
        <v>263</v>
      </c>
      <c r="F42" s="28" t="s">
        <v>320</v>
      </c>
    </row>
    <row r="43" customFormat="false" ht="15" hidden="false" customHeight="false" outlineLevel="0" collapsed="false">
      <c r="A43" s="28" t="s">
        <v>318</v>
      </c>
      <c r="B43" s="28" t="s">
        <v>319</v>
      </c>
      <c r="C43" s="29" t="s">
        <v>265</v>
      </c>
      <c r="D43" s="28" t="s">
        <v>266</v>
      </c>
      <c r="E43" s="28" t="s">
        <v>232</v>
      </c>
      <c r="F43" s="28" t="s">
        <v>321</v>
      </c>
    </row>
    <row r="44" customFormat="false" ht="15" hidden="false" customHeight="false" outlineLevel="0" collapsed="false">
      <c r="A44" s="28" t="s">
        <v>318</v>
      </c>
      <c r="B44" s="28" t="s">
        <v>319</v>
      </c>
      <c r="C44" s="29" t="s">
        <v>282</v>
      </c>
      <c r="D44" s="28" t="s">
        <v>283</v>
      </c>
      <c r="E44" s="28" t="s">
        <v>232</v>
      </c>
      <c r="F44" s="28" t="s">
        <v>322</v>
      </c>
    </row>
    <row r="45" customFormat="false" ht="15" hidden="false" customHeight="false" outlineLevel="0" collapsed="false">
      <c r="A45" s="28" t="s">
        <v>318</v>
      </c>
      <c r="B45" s="28" t="s">
        <v>319</v>
      </c>
      <c r="C45" s="29" t="s">
        <v>323</v>
      </c>
      <c r="D45" s="28" t="s">
        <v>324</v>
      </c>
      <c r="E45" s="28" t="s">
        <v>325</v>
      </c>
      <c r="F45" s="28" t="s">
        <v>326</v>
      </c>
    </row>
    <row r="46" customFormat="false" ht="15" hidden="false" customHeight="false" outlineLevel="0" collapsed="false">
      <c r="A46" s="28" t="s">
        <v>318</v>
      </c>
      <c r="B46" s="28" t="s">
        <v>319</v>
      </c>
      <c r="C46" s="29" t="s">
        <v>327</v>
      </c>
      <c r="D46" s="28" t="s">
        <v>258</v>
      </c>
      <c r="E46" s="28" t="s">
        <v>259</v>
      </c>
      <c r="F46" s="28" t="s">
        <v>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56"/>
    <col collapsed="false" customWidth="true" hidden="false" outlineLevel="0" max="6" min="6" style="0" width="34"/>
    <col collapsed="false" customWidth="true" hidden="false" outlineLevel="0" max="7" min="7" style="0" width="38"/>
  </cols>
  <sheetData>
    <row r="1" customFormat="false" ht="17.35" hidden="false" customHeight="false" outlineLevel="0" collapsed="false">
      <c r="A1" s="1" t="s">
        <v>329</v>
      </c>
    </row>
    <row r="2" customFormat="false" ht="15" hidden="false" customHeight="false" outlineLevel="0" collapsed="false">
      <c r="A2" s="4" t="s">
        <v>330</v>
      </c>
    </row>
    <row r="4" customFormat="false" ht="15" hidden="false" customHeight="false" outlineLevel="0" collapsed="false">
      <c r="A4" s="5" t="s">
        <v>134</v>
      </c>
      <c r="B4" s="5" t="s">
        <v>331</v>
      </c>
      <c r="C4" s="5" t="s">
        <v>332</v>
      </c>
      <c r="D4" s="5" t="s">
        <v>333</v>
      </c>
      <c r="E4" s="5" t="s">
        <v>334</v>
      </c>
      <c r="F4" s="5" t="s">
        <v>335</v>
      </c>
      <c r="G4" s="5" t="s">
        <v>336</v>
      </c>
    </row>
    <row r="5" customFormat="false" ht="15" hidden="false" customHeight="false" outlineLevel="0" collapsed="false">
      <c r="A5" s="28" t="s">
        <v>140</v>
      </c>
      <c r="B5" s="27" t="s">
        <v>337</v>
      </c>
      <c r="C5" s="29" t="s">
        <v>338</v>
      </c>
      <c r="D5" s="28" t="s">
        <v>339</v>
      </c>
      <c r="E5" s="28" t="s">
        <v>340</v>
      </c>
      <c r="F5" s="28" t="s">
        <v>341</v>
      </c>
      <c r="G5" s="28" t="s">
        <v>342</v>
      </c>
    </row>
    <row r="6" customFormat="false" ht="15" hidden="false" customHeight="false" outlineLevel="0" collapsed="false">
      <c r="A6" s="28" t="s">
        <v>140</v>
      </c>
      <c r="B6" s="27" t="s">
        <v>343</v>
      </c>
      <c r="C6" s="29" t="s">
        <v>344</v>
      </c>
      <c r="D6" s="28" t="s">
        <v>345</v>
      </c>
      <c r="E6" s="28" t="s">
        <v>346</v>
      </c>
      <c r="F6" s="28" t="s">
        <v>347</v>
      </c>
      <c r="G6" s="28" t="s">
        <v>348</v>
      </c>
    </row>
    <row r="7" customFormat="false" ht="15" hidden="false" customHeight="false" outlineLevel="0" collapsed="false">
      <c r="A7" s="28" t="s">
        <v>140</v>
      </c>
      <c r="B7" s="27" t="s">
        <v>343</v>
      </c>
      <c r="C7" s="29" t="s">
        <v>349</v>
      </c>
      <c r="D7" s="28" t="s">
        <v>350</v>
      </c>
      <c r="E7" s="28" t="s">
        <v>346</v>
      </c>
      <c r="F7" s="28" t="s">
        <v>347</v>
      </c>
      <c r="G7" s="28" t="s">
        <v>348</v>
      </c>
    </row>
    <row r="8" customFormat="false" ht="15" hidden="false" customHeight="false" outlineLevel="0" collapsed="false">
      <c r="A8" s="28" t="s">
        <v>140</v>
      </c>
      <c r="B8" s="27" t="s">
        <v>343</v>
      </c>
      <c r="C8" s="29" t="s">
        <v>351</v>
      </c>
      <c r="D8" s="28" t="s">
        <v>352</v>
      </c>
      <c r="E8" s="28" t="s">
        <v>346</v>
      </c>
      <c r="F8" s="28" t="s">
        <v>353</v>
      </c>
      <c r="G8" s="28" t="s">
        <v>346</v>
      </c>
    </row>
    <row r="9" customFormat="false" ht="15" hidden="false" customHeight="false" outlineLevel="0" collapsed="false">
      <c r="A9" s="28" t="s">
        <v>140</v>
      </c>
      <c r="B9" s="27" t="s">
        <v>354</v>
      </c>
      <c r="C9" s="29" t="s">
        <v>344</v>
      </c>
      <c r="D9" s="28" t="s">
        <v>355</v>
      </c>
      <c r="E9" s="28" t="s">
        <v>356</v>
      </c>
      <c r="F9" s="28" t="s">
        <v>347</v>
      </c>
      <c r="G9" s="28" t="s">
        <v>357</v>
      </c>
    </row>
    <row r="10" customFormat="false" ht="15" hidden="false" customHeight="false" outlineLevel="0" collapsed="false">
      <c r="A10" s="28" t="s">
        <v>140</v>
      </c>
      <c r="B10" s="27" t="s">
        <v>358</v>
      </c>
      <c r="C10" s="29" t="s">
        <v>344</v>
      </c>
      <c r="D10" s="28" t="s">
        <v>359</v>
      </c>
      <c r="E10" s="28" t="s">
        <v>346</v>
      </c>
      <c r="F10" s="28" t="s">
        <v>360</v>
      </c>
      <c r="G10" s="28" t="s">
        <v>361</v>
      </c>
    </row>
    <row r="11" customFormat="false" ht="15" hidden="false" customHeight="false" outlineLevel="0" collapsed="false">
      <c r="A11" s="28" t="s">
        <v>140</v>
      </c>
      <c r="B11" s="27" t="s">
        <v>343</v>
      </c>
      <c r="C11" s="29" t="s">
        <v>362</v>
      </c>
      <c r="D11" s="28" t="s">
        <v>363</v>
      </c>
      <c r="E11" s="28" t="s">
        <v>346</v>
      </c>
      <c r="F11" s="28" t="s">
        <v>364</v>
      </c>
      <c r="G11" s="28" t="s">
        <v>365</v>
      </c>
    </row>
    <row r="12" customFormat="false" ht="15" hidden="false" customHeight="false" outlineLevel="0" collapsed="false">
      <c r="A12" s="28" t="s">
        <v>140</v>
      </c>
      <c r="B12" s="27" t="s">
        <v>337</v>
      </c>
      <c r="C12" s="29" t="s">
        <v>366</v>
      </c>
      <c r="D12" s="28" t="s">
        <v>367</v>
      </c>
      <c r="E12" s="28" t="s">
        <v>368</v>
      </c>
      <c r="F12" s="28" t="s">
        <v>369</v>
      </c>
      <c r="G12" s="28" t="s">
        <v>370</v>
      </c>
    </row>
    <row r="13" customFormat="false" ht="15" hidden="false" customHeight="false" outlineLevel="0" collapsed="false">
      <c r="A13" s="28" t="s">
        <v>140</v>
      </c>
      <c r="B13" s="27" t="s">
        <v>337</v>
      </c>
      <c r="C13" s="29" t="s">
        <v>371</v>
      </c>
      <c r="D13" s="28" t="s">
        <v>372</v>
      </c>
      <c r="E13" s="28" t="s">
        <v>373</v>
      </c>
      <c r="F13" s="28" t="s">
        <v>374</v>
      </c>
      <c r="G13" s="28" t="s">
        <v>375</v>
      </c>
    </row>
    <row r="14" customFormat="false" ht="23.85" hidden="false" customHeight="false" outlineLevel="0" collapsed="false">
      <c r="A14" s="28" t="s">
        <v>159</v>
      </c>
      <c r="B14" s="27" t="s">
        <v>337</v>
      </c>
      <c r="C14" s="29" t="s">
        <v>376</v>
      </c>
      <c r="D14" s="28" t="s">
        <v>377</v>
      </c>
      <c r="E14" s="28" t="s">
        <v>378</v>
      </c>
      <c r="F14" s="28" t="s">
        <v>379</v>
      </c>
      <c r="G14" s="28" t="s">
        <v>380</v>
      </c>
    </row>
    <row r="15" customFormat="false" ht="15" hidden="false" customHeight="false" outlineLevel="0" collapsed="false">
      <c r="A15" s="28" t="s">
        <v>159</v>
      </c>
      <c r="B15" s="27" t="s">
        <v>343</v>
      </c>
      <c r="C15" s="29" t="s">
        <v>381</v>
      </c>
      <c r="D15" s="28" t="s">
        <v>382</v>
      </c>
      <c r="E15" s="28" t="s">
        <v>346</v>
      </c>
      <c r="F15" s="28" t="s">
        <v>383</v>
      </c>
      <c r="G15" s="28" t="s">
        <v>361</v>
      </c>
    </row>
    <row r="16" customFormat="false" ht="15" hidden="false" customHeight="false" outlineLevel="0" collapsed="false">
      <c r="A16" s="28" t="s">
        <v>159</v>
      </c>
      <c r="B16" s="27" t="s">
        <v>343</v>
      </c>
      <c r="C16" s="29" t="s">
        <v>384</v>
      </c>
      <c r="D16" s="28" t="s">
        <v>385</v>
      </c>
      <c r="E16" s="28" t="s">
        <v>346</v>
      </c>
      <c r="F16" s="28" t="s">
        <v>386</v>
      </c>
      <c r="G16" s="28" t="s">
        <v>361</v>
      </c>
    </row>
    <row r="17" customFormat="false" ht="15" hidden="false" customHeight="false" outlineLevel="0" collapsed="false">
      <c r="A17" s="28" t="s">
        <v>159</v>
      </c>
      <c r="B17" s="27" t="s">
        <v>343</v>
      </c>
      <c r="C17" s="29" t="s">
        <v>387</v>
      </c>
      <c r="D17" s="28" t="s">
        <v>388</v>
      </c>
      <c r="E17" s="28" t="s">
        <v>346</v>
      </c>
      <c r="F17" s="28" t="s">
        <v>389</v>
      </c>
      <c r="G17" s="28" t="s">
        <v>346</v>
      </c>
    </row>
    <row r="18" customFormat="false" ht="15" hidden="false" customHeight="false" outlineLevel="0" collapsed="false">
      <c r="A18" s="28" t="s">
        <v>159</v>
      </c>
      <c r="B18" s="27" t="s">
        <v>354</v>
      </c>
      <c r="C18" s="29" t="s">
        <v>390</v>
      </c>
      <c r="D18" s="28" t="s">
        <v>391</v>
      </c>
      <c r="E18" s="28" t="s">
        <v>346</v>
      </c>
      <c r="F18" s="28" t="s">
        <v>392</v>
      </c>
      <c r="G18" s="28" t="s">
        <v>393</v>
      </c>
    </row>
    <row r="19" customFormat="false" ht="15" hidden="false" customHeight="false" outlineLevel="0" collapsed="false">
      <c r="A19" s="28" t="s">
        <v>176</v>
      </c>
      <c r="B19" s="27" t="s">
        <v>337</v>
      </c>
      <c r="C19" s="29" t="s">
        <v>394</v>
      </c>
      <c r="D19" s="28" t="s">
        <v>395</v>
      </c>
      <c r="E19" s="28" t="s">
        <v>396</v>
      </c>
      <c r="F19" s="28" t="s">
        <v>397</v>
      </c>
      <c r="G19" s="28" t="s">
        <v>398</v>
      </c>
    </row>
    <row r="21" customFormat="false" ht="15" hidden="false" customHeight="false" outlineLevel="0" collapsed="false">
      <c r="A21" s="2" t="s">
        <v>399</v>
      </c>
    </row>
    <row r="22" customFormat="false" ht="15" hidden="false" customHeight="false" outlineLevel="0" collapsed="false">
      <c r="A22" s="30" t="s">
        <v>400</v>
      </c>
    </row>
    <row r="23" customFormat="false" ht="15" hidden="false" customHeight="false" outlineLevel="0" collapsed="false">
      <c r="A23" s="4" t="s">
        <v>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402</v>
      </c>
    </row>
    <row r="3" customFormat="false" ht="15" hidden="false" customHeight="false" outlineLevel="0" collapsed="false">
      <c r="A3" s="5" t="s">
        <v>403</v>
      </c>
      <c r="B3" s="5" t="s">
        <v>404</v>
      </c>
      <c r="C3" s="5" t="s">
        <v>405</v>
      </c>
    </row>
    <row r="4" customFormat="false" ht="15" hidden="false" customHeight="false" outlineLevel="0" collapsed="false">
      <c r="A4" s="29" t="s">
        <v>406</v>
      </c>
      <c r="B4" s="28" t="s">
        <v>407</v>
      </c>
      <c r="C4" s="28" t="s">
        <v>408</v>
      </c>
    </row>
    <row r="5" customFormat="false" ht="15" hidden="false" customHeight="false" outlineLevel="0" collapsed="false">
      <c r="A5" s="29" t="s">
        <v>409</v>
      </c>
      <c r="B5" s="28" t="s">
        <v>410</v>
      </c>
      <c r="C5" s="28" t="s">
        <v>411</v>
      </c>
    </row>
    <row r="6" customFormat="false" ht="15" hidden="false" customHeight="false" outlineLevel="0" collapsed="false">
      <c r="A6" s="29" t="s">
        <v>412</v>
      </c>
      <c r="B6" s="28" t="s">
        <v>413</v>
      </c>
      <c r="C6" s="28" t="s">
        <v>414</v>
      </c>
    </row>
    <row r="7" customFormat="false" ht="15" hidden="false" customHeight="false" outlineLevel="0" collapsed="false">
      <c r="A7" s="29" t="s">
        <v>415</v>
      </c>
      <c r="B7" s="28" t="s">
        <v>416</v>
      </c>
      <c r="C7" s="28" t="s">
        <v>417</v>
      </c>
    </row>
    <row r="8" customFormat="false" ht="15" hidden="false" customHeight="false" outlineLevel="0" collapsed="false">
      <c r="A8" s="29" t="s">
        <v>418</v>
      </c>
      <c r="B8" s="28" t="s">
        <v>419</v>
      </c>
      <c r="C8" s="28" t="s">
        <v>420</v>
      </c>
    </row>
    <row r="9" customFormat="false" ht="15" hidden="false" customHeight="false" outlineLevel="0" collapsed="false">
      <c r="A9" s="29" t="s">
        <v>421</v>
      </c>
      <c r="B9" s="28" t="s">
        <v>422</v>
      </c>
      <c r="C9" s="28" t="s">
        <v>423</v>
      </c>
    </row>
    <row r="10" customFormat="false" ht="15" hidden="false" customHeight="false" outlineLevel="0" collapsed="false">
      <c r="A10" s="29" t="s">
        <v>55</v>
      </c>
      <c r="B10" s="28" t="s">
        <v>424</v>
      </c>
      <c r="C10" s="28" t="s">
        <v>425</v>
      </c>
    </row>
    <row r="11" customFormat="false" ht="15" hidden="false" customHeight="false" outlineLevel="0" collapsed="false">
      <c r="A11" s="29" t="s">
        <v>426</v>
      </c>
      <c r="B11" s="28" t="s">
        <v>427</v>
      </c>
      <c r="C11" s="28" t="s">
        <v>428</v>
      </c>
    </row>
    <row r="12" customFormat="false" ht="15" hidden="false" customHeight="false" outlineLevel="0" collapsed="false">
      <c r="A12" s="29" t="s">
        <v>429</v>
      </c>
      <c r="B12" s="28" t="s">
        <v>430</v>
      </c>
      <c r="C12" s="28" t="s">
        <v>431</v>
      </c>
    </row>
    <row r="13" customFormat="false" ht="15" hidden="false" customHeight="false" outlineLevel="0" collapsed="false">
      <c r="A13" s="29" t="s">
        <v>432</v>
      </c>
      <c r="B13" s="28" t="s">
        <v>91</v>
      </c>
      <c r="C13" s="28" t="s">
        <v>433</v>
      </c>
    </row>
    <row r="14" customFormat="false" ht="15" hidden="false" customHeight="false" outlineLevel="0" collapsed="false">
      <c r="A14" s="29" t="s">
        <v>434</v>
      </c>
      <c r="B14" s="28" t="s">
        <v>435</v>
      </c>
      <c r="C14" s="28" t="s">
        <v>436</v>
      </c>
    </row>
    <row r="15" customFormat="false" ht="15" hidden="false" customHeight="false" outlineLevel="0" collapsed="false">
      <c r="A15" s="29" t="s">
        <v>437</v>
      </c>
      <c r="B15" s="28" t="s">
        <v>438</v>
      </c>
      <c r="C15" s="28" t="s">
        <v>439</v>
      </c>
    </row>
    <row r="16" customFormat="false" ht="15" hidden="false" customHeight="false" outlineLevel="0" collapsed="false">
      <c r="A16" s="29" t="s">
        <v>63</v>
      </c>
      <c r="B16" s="28" t="s">
        <v>440</v>
      </c>
      <c r="C16" s="28" t="s">
        <v>441</v>
      </c>
    </row>
    <row r="17" customFormat="false" ht="15" hidden="false" customHeight="false" outlineLevel="0" collapsed="false">
      <c r="A17" s="29" t="s">
        <v>442</v>
      </c>
      <c r="B17" s="28" t="s">
        <v>443</v>
      </c>
      <c r="C17" s="28" t="s">
        <v>436</v>
      </c>
    </row>
    <row r="18" customFormat="false" ht="15" hidden="false" customHeight="false" outlineLevel="0" collapsed="false">
      <c r="A18" s="29" t="s">
        <v>444</v>
      </c>
      <c r="B18" s="28" t="s">
        <v>445</v>
      </c>
      <c r="C18" s="28" t="s">
        <v>446</v>
      </c>
    </row>
    <row r="19" customFormat="false" ht="15" hidden="false" customHeight="false" outlineLevel="0" collapsed="false">
      <c r="A19" s="29" t="s">
        <v>447</v>
      </c>
      <c r="B19" s="28" t="s">
        <v>448</v>
      </c>
      <c r="C19" s="28" t="s">
        <v>449</v>
      </c>
    </row>
    <row r="21" customFormat="false" ht="15" hidden="false" customHeight="false" outlineLevel="0" collapsed="false">
      <c r="A21" s="5" t="s">
        <v>450</v>
      </c>
      <c r="B21" s="5" t="s">
        <v>451</v>
      </c>
    </row>
    <row r="22" customFormat="false" ht="15" hidden="false" customHeight="false" outlineLevel="0" collapsed="false">
      <c r="A22" s="29" t="s">
        <v>176</v>
      </c>
      <c r="B22" s="27" t="s">
        <v>452</v>
      </c>
    </row>
    <row r="23" customFormat="false" ht="15" hidden="false" customHeight="false" outlineLevel="0" collapsed="false">
      <c r="A23" s="29" t="s">
        <v>453</v>
      </c>
      <c r="B23" s="27" t="s">
        <v>454</v>
      </c>
    </row>
    <row r="24" customFormat="false" ht="15" hidden="false" customHeight="false" outlineLevel="0" collapsed="false">
      <c r="A24" s="29" t="s">
        <v>455</v>
      </c>
      <c r="B24" s="27" t="s">
        <v>456</v>
      </c>
    </row>
    <row r="25" customFormat="false" ht="23.85" hidden="false" customHeight="false" outlineLevel="0" collapsed="false">
      <c r="A25" s="29" t="s">
        <v>457</v>
      </c>
      <c r="B25" s="27" t="s">
        <v>458</v>
      </c>
    </row>
    <row r="26" customFormat="false" ht="15" hidden="false" customHeight="false" outlineLevel="0" collapsed="false">
      <c r="A26" s="29" t="s">
        <v>459</v>
      </c>
      <c r="B26" s="27" t="s">
        <v>460</v>
      </c>
    </row>
    <row r="27" customFormat="false" ht="15" hidden="false" customHeight="false" outlineLevel="0" collapsed="false">
      <c r="A27" s="29" t="s">
        <v>461</v>
      </c>
      <c r="B27" s="27" t="s">
        <v>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7"/>
  </cols>
  <sheetData>
    <row r="1" customFormat="false" ht="17.35" hidden="false" customHeight="false" outlineLevel="0" collapsed="false">
      <c r="A1" s="1" t="s">
        <v>463</v>
      </c>
    </row>
    <row r="3" customFormat="false" ht="26.85" hidden="false" customHeight="false" outlineLevel="0" collapsed="false">
      <c r="A3" s="5" t="s">
        <v>4</v>
      </c>
      <c r="B3" s="5" t="s">
        <v>464</v>
      </c>
      <c r="C3" s="5" t="s">
        <v>465</v>
      </c>
      <c r="D3" s="5" t="s">
        <v>466</v>
      </c>
      <c r="E3" s="5" t="s">
        <v>467</v>
      </c>
      <c r="F3" s="5" t="s">
        <v>468</v>
      </c>
      <c r="G3" s="5" t="s">
        <v>469</v>
      </c>
    </row>
    <row r="4" customFormat="false" ht="15" hidden="false" customHeight="false" outlineLevel="0" collapsed="false">
      <c r="A4" s="31" t="n">
        <v>1</v>
      </c>
      <c r="B4" s="32" t="s">
        <v>470</v>
      </c>
      <c r="C4" s="31" t="n">
        <f aca="false">COUNTIF('Day-by-Day Plan'!$B$5:$B$32,A4)</f>
        <v>7</v>
      </c>
      <c r="D4" s="31" t="n">
        <f aca="false">COUNTIFS('Day-by-Day Plan'!$B$5:$B$32,A4,'Day-by-Day Plan'!$I$5:$I$32,"Done")</f>
        <v>1</v>
      </c>
      <c r="E4" s="33" t="n">
        <f aca="false">IF(C4=0,0,D4/C4)</f>
        <v>0.142857142857143</v>
      </c>
      <c r="F4" s="31" t="n">
        <f aca="false">SUMIF('Day-by-Day Plan'!$B$5:$B$32,A4,'Day-by-Day Plan'!$H$5:$H$32)</f>
        <v>15</v>
      </c>
      <c r="G4" s="31" t="n">
        <f aca="false">SUMIFS('Day-by-Day Plan'!$H$5:$H$32,'Day-by-Day Plan'!$B$5:$B$32,A4,'Day-by-Day Plan'!$I$5:$I$32,"Done")</f>
        <v>2</v>
      </c>
    </row>
    <row r="5" customFormat="false" ht="15" hidden="false" customHeight="false" outlineLevel="0" collapsed="false">
      <c r="A5" s="31" t="n">
        <v>2</v>
      </c>
      <c r="B5" s="32" t="s">
        <v>471</v>
      </c>
      <c r="C5" s="31" t="n">
        <f aca="false">COUNTIF('Day-by-Day Plan'!$B$5:$B$32,A5)</f>
        <v>7</v>
      </c>
      <c r="D5" s="31" t="n">
        <f aca="false">COUNTIFS('Day-by-Day Plan'!$B$5:$B$32,A5,'Day-by-Day Plan'!$I$5:$I$32,"Done")</f>
        <v>0</v>
      </c>
      <c r="E5" s="33" t="n">
        <f aca="false">IF(C5=0,0,D5/C5)</f>
        <v>0</v>
      </c>
      <c r="F5" s="31" t="n">
        <f aca="false">SUMIF('Day-by-Day Plan'!$B$5:$B$32,A5,'Day-by-Day Plan'!$H$5:$H$32)</f>
        <v>15</v>
      </c>
      <c r="G5" s="31" t="n">
        <f aca="false">SUMIFS('Day-by-Day Plan'!$H$5:$H$32,'Day-by-Day Plan'!$B$5:$B$32,A5,'Day-by-Day Plan'!$I$5:$I$32,"Done")</f>
        <v>0</v>
      </c>
    </row>
    <row r="6" customFormat="false" ht="15" hidden="false" customHeight="false" outlineLevel="0" collapsed="false">
      <c r="A6" s="31" t="n">
        <v>3</v>
      </c>
      <c r="B6" s="32" t="s">
        <v>472</v>
      </c>
      <c r="C6" s="31" t="n">
        <f aca="false">COUNTIF('Day-by-Day Plan'!$B$5:$B$32,A6)</f>
        <v>7</v>
      </c>
      <c r="D6" s="31" t="n">
        <f aca="false">COUNTIFS('Day-by-Day Plan'!$B$5:$B$32,A6,'Day-by-Day Plan'!$I$5:$I$32,"Done")</f>
        <v>0</v>
      </c>
      <c r="E6" s="33" t="n">
        <f aca="false">IF(C6=0,0,D6/C6)</f>
        <v>0</v>
      </c>
      <c r="F6" s="31" t="n">
        <f aca="false">SUMIF('Day-by-Day Plan'!$B$5:$B$32,A6,'Day-by-Day Plan'!$H$5:$H$32)</f>
        <v>15</v>
      </c>
      <c r="G6" s="31" t="n">
        <f aca="false">SUMIFS('Day-by-Day Plan'!$H$5:$H$32,'Day-by-Day Plan'!$B$5:$B$32,A6,'Day-by-Day Plan'!$I$5:$I$32,"Done")</f>
        <v>0</v>
      </c>
    </row>
    <row r="7" customFormat="false" ht="15" hidden="false" customHeight="false" outlineLevel="0" collapsed="false">
      <c r="A7" s="31" t="n">
        <v>4</v>
      </c>
      <c r="B7" s="32" t="s">
        <v>473</v>
      </c>
      <c r="C7" s="31" t="n">
        <f aca="false">COUNTIF('Day-by-Day Plan'!$B$5:$B$32,A7)</f>
        <v>7</v>
      </c>
      <c r="D7" s="31" t="n">
        <f aca="false">COUNTIFS('Day-by-Day Plan'!$B$5:$B$32,A7,'Day-by-Day Plan'!$I$5:$I$32,"Done")</f>
        <v>0</v>
      </c>
      <c r="E7" s="33" t="n">
        <f aca="false">IF(C7=0,0,D7/C7)</f>
        <v>0</v>
      </c>
      <c r="F7" s="31" t="n">
        <f aca="false">SUMIF('Day-by-Day Plan'!$B$5:$B$32,A7,'Day-by-Day Plan'!$H$5:$H$32)</f>
        <v>16</v>
      </c>
      <c r="G7" s="31" t="n">
        <f aca="false">SUMIFS('Day-by-Day Plan'!$H$5:$H$32,'Day-by-Day Plan'!$B$5:$B$32,A7,'Day-by-Day Plan'!$I$5:$I$32,"Done")</f>
        <v>0</v>
      </c>
    </row>
    <row r="8" customFormat="false" ht="15" hidden="false" customHeight="false" outlineLevel="0" collapsed="false">
      <c r="A8" s="34" t="s">
        <v>474</v>
      </c>
      <c r="B8" s="35"/>
      <c r="C8" s="34" t="n">
        <f aca="false">SUM(C4:C7)</f>
        <v>28</v>
      </c>
      <c r="D8" s="34" t="n">
        <f aca="false">SUM(D4:D7)</f>
        <v>1</v>
      </c>
      <c r="E8" s="36" t="n">
        <f aca="false">IF(C8=0,0,D8/C8)</f>
        <v>0.0357142857142857</v>
      </c>
      <c r="F8" s="34" t="n">
        <f aca="false">SUM(F4:F7)</f>
        <v>61</v>
      </c>
      <c r="G8" s="34" t="n">
        <f aca="false">SUM(G4:G7)</f>
        <v>2</v>
      </c>
    </row>
    <row r="10" customFormat="false" ht="15" hidden="false" customHeight="false" outlineLevel="0" collapsed="false">
      <c r="A10" s="4" t="s">
        <v>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8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12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476</v>
      </c>
    </row>
    <row r="2" customFormat="false" ht="15" hidden="false" customHeight="false" outlineLevel="0" collapsed="false">
      <c r="A2" s="4" t="s">
        <v>477</v>
      </c>
    </row>
    <row r="4" customFormat="false" ht="26.85" hidden="false" customHeight="false" outlineLevel="0" collapsed="false">
      <c r="A4" s="5" t="s">
        <v>132</v>
      </c>
      <c r="B4" s="5" t="s">
        <v>478</v>
      </c>
      <c r="C4" s="5" t="s">
        <v>479</v>
      </c>
      <c r="D4" s="5" t="s">
        <v>480</v>
      </c>
      <c r="E4" s="5" t="s">
        <v>481</v>
      </c>
      <c r="F4" s="5" t="s">
        <v>482</v>
      </c>
    </row>
    <row r="5" customFormat="false" ht="15" hidden="false" customHeight="false" outlineLevel="0" collapsed="false">
      <c r="A5" s="37" t="s">
        <v>483</v>
      </c>
      <c r="B5" s="38" t="s">
        <v>484</v>
      </c>
      <c r="C5" s="37" t="s">
        <v>485</v>
      </c>
      <c r="D5" s="37" t="s">
        <v>486</v>
      </c>
      <c r="E5" s="37" t="s">
        <v>487</v>
      </c>
      <c r="F5" s="37" t="s">
        <v>488</v>
      </c>
    </row>
    <row r="6" customFormat="false" ht="35.05" hidden="false" customHeight="false" outlineLevel="0" collapsed="false">
      <c r="A6" s="37" t="s">
        <v>483</v>
      </c>
      <c r="B6" s="38" t="s">
        <v>489</v>
      </c>
      <c r="C6" s="37" t="s">
        <v>485</v>
      </c>
      <c r="D6" s="37" t="s">
        <v>490</v>
      </c>
      <c r="E6" s="37" t="s">
        <v>487</v>
      </c>
      <c r="F6" s="37" t="s">
        <v>488</v>
      </c>
    </row>
    <row r="7" customFormat="false" ht="35.05" hidden="false" customHeight="false" outlineLevel="0" collapsed="false">
      <c r="A7" s="37" t="s">
        <v>491</v>
      </c>
      <c r="B7" s="38" t="s">
        <v>492</v>
      </c>
      <c r="C7" s="37" t="s">
        <v>485</v>
      </c>
      <c r="D7" s="37" t="s">
        <v>493</v>
      </c>
      <c r="E7" s="37" t="s">
        <v>494</v>
      </c>
      <c r="F7" s="37" t="s">
        <v>488</v>
      </c>
    </row>
    <row r="8" customFormat="false" ht="15" hidden="false" customHeight="false" outlineLevel="0" collapsed="false">
      <c r="A8" s="37" t="s">
        <v>495</v>
      </c>
      <c r="B8" s="38" t="s">
        <v>496</v>
      </c>
      <c r="C8" s="37" t="s">
        <v>485</v>
      </c>
      <c r="D8" s="37" t="s">
        <v>497</v>
      </c>
      <c r="E8" s="37" t="s">
        <v>494</v>
      </c>
      <c r="F8" s="37" t="s">
        <v>488</v>
      </c>
    </row>
    <row r="9" customFormat="false" ht="23.85" hidden="false" customHeight="false" outlineLevel="0" collapsed="false">
      <c r="A9" s="37" t="s">
        <v>495</v>
      </c>
      <c r="B9" s="38" t="s">
        <v>498</v>
      </c>
      <c r="C9" s="37" t="s">
        <v>499</v>
      </c>
      <c r="D9" s="37" t="s">
        <v>500</v>
      </c>
      <c r="E9" s="37" t="s">
        <v>494</v>
      </c>
      <c r="F9" s="37" t="s">
        <v>501</v>
      </c>
    </row>
    <row r="10" customFormat="false" ht="15" hidden="false" customHeight="false" outlineLevel="0" collapsed="false">
      <c r="A10" s="37" t="s">
        <v>502</v>
      </c>
      <c r="B10" s="38" t="s">
        <v>503</v>
      </c>
      <c r="C10" s="37" t="s">
        <v>504</v>
      </c>
      <c r="D10" s="37" t="s">
        <v>505</v>
      </c>
      <c r="E10" s="37" t="s">
        <v>487</v>
      </c>
      <c r="F10" s="37" t="s">
        <v>506</v>
      </c>
    </row>
    <row r="11" customFormat="false" ht="15" hidden="false" customHeight="false" outlineLevel="0" collapsed="false">
      <c r="A11" s="37" t="s">
        <v>502</v>
      </c>
      <c r="B11" s="38" t="s">
        <v>507</v>
      </c>
      <c r="C11" s="37" t="s">
        <v>508</v>
      </c>
      <c r="D11" s="37" t="s">
        <v>509</v>
      </c>
      <c r="E11" s="37" t="s">
        <v>187</v>
      </c>
      <c r="F11" s="37" t="s">
        <v>506</v>
      </c>
    </row>
    <row r="12" customFormat="false" ht="15" hidden="false" customHeight="false" outlineLevel="0" collapsed="false">
      <c r="A12" s="37" t="s">
        <v>510</v>
      </c>
      <c r="B12" s="38" t="s">
        <v>511</v>
      </c>
      <c r="C12" s="37" t="s">
        <v>512</v>
      </c>
      <c r="D12" s="37" t="s">
        <v>513</v>
      </c>
      <c r="E12" s="37" t="s">
        <v>187</v>
      </c>
      <c r="F12" s="37" t="s">
        <v>514</v>
      </c>
    </row>
    <row r="13" customFormat="false" ht="15" hidden="false" customHeight="false" outlineLevel="0" collapsed="false">
      <c r="A13" s="37" t="s">
        <v>510</v>
      </c>
      <c r="B13" s="38" t="s">
        <v>515</v>
      </c>
      <c r="C13" s="37" t="s">
        <v>516</v>
      </c>
      <c r="D13" s="37" t="s">
        <v>517</v>
      </c>
      <c r="E13" s="37" t="s">
        <v>518</v>
      </c>
      <c r="F13" s="37" t="s">
        <v>506</v>
      </c>
    </row>
    <row r="14" customFormat="false" ht="15" hidden="false" customHeight="false" outlineLevel="0" collapsed="false">
      <c r="A14" s="37" t="s">
        <v>519</v>
      </c>
      <c r="B14" s="38" t="s">
        <v>520</v>
      </c>
      <c r="C14" s="37" t="s">
        <v>521</v>
      </c>
      <c r="D14" s="37" t="s">
        <v>522</v>
      </c>
      <c r="E14" s="37" t="s">
        <v>523</v>
      </c>
      <c r="F14" s="37" t="s">
        <v>506</v>
      </c>
    </row>
    <row r="15" customFormat="false" ht="15" hidden="false" customHeight="false" outlineLevel="0" collapsed="false">
      <c r="A15" s="37" t="s">
        <v>524</v>
      </c>
      <c r="B15" s="38" t="s">
        <v>525</v>
      </c>
      <c r="C15" s="37" t="s">
        <v>526</v>
      </c>
      <c r="D15" s="37" t="s">
        <v>527</v>
      </c>
      <c r="E15" s="37" t="s">
        <v>187</v>
      </c>
      <c r="F15" s="37" t="s">
        <v>506</v>
      </c>
    </row>
    <row r="17" customFormat="false" ht="15" hidden="false" customHeight="false" outlineLevel="0" collapsed="false">
      <c r="A17" s="39" t="s">
        <v>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3" min="3" style="0" width="70"/>
    <col collapsed="false" customWidth="true" hidden="false" outlineLevel="0" max="4" min="4" style="0" width="48"/>
    <col collapsed="false" customWidth="true" hidden="false" outlineLevel="0" max="5" min="5" style="0" width="17"/>
    <col collapsed="false" customWidth="true" hidden="false" outlineLevel="0" max="6" min="6" style="0" width="46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529</v>
      </c>
    </row>
    <row r="2" customFormat="false" ht="15" hidden="false" customHeight="false" outlineLevel="0" collapsed="false">
      <c r="A2" s="4" t="s">
        <v>530</v>
      </c>
    </row>
    <row r="4" customFormat="false" ht="15" hidden="false" customHeight="false" outlineLevel="0" collapsed="false">
      <c r="A4" s="2" t="s">
        <v>531</v>
      </c>
      <c r="B4" s="2" t="str">
        <f aca="false">COUNTIF(G8:G35,"Done")&amp;" of "&amp;COUNTA(A8:A35)</f>
        <v>1 of 28</v>
      </c>
    </row>
    <row r="6" customFormat="false" ht="15" hidden="false" customHeight="false" outlineLevel="0" collapsed="false">
      <c r="A6" s="40" t="s">
        <v>532</v>
      </c>
    </row>
    <row r="7" customFormat="false" ht="15" hidden="false" customHeight="false" outlineLevel="0" collapsed="false">
      <c r="A7" s="5" t="s">
        <v>533</v>
      </c>
      <c r="B7" s="5" t="s">
        <v>534</v>
      </c>
      <c r="C7" s="5" t="s">
        <v>535</v>
      </c>
      <c r="D7" s="5" t="s">
        <v>536</v>
      </c>
      <c r="E7" s="5" t="s">
        <v>537</v>
      </c>
      <c r="F7" s="5" t="s">
        <v>538</v>
      </c>
      <c r="G7" s="5" t="s">
        <v>539</v>
      </c>
    </row>
    <row r="8" customFormat="false" ht="15" hidden="false" customHeight="false" outlineLevel="0" collapsed="false">
      <c r="A8" s="27" t="s">
        <v>540</v>
      </c>
      <c r="B8" s="29" t="s">
        <v>13</v>
      </c>
      <c r="C8" s="28" t="s">
        <v>541</v>
      </c>
      <c r="D8" s="28"/>
      <c r="E8" s="27" t="s">
        <v>542</v>
      </c>
      <c r="F8" s="28" t="s">
        <v>543</v>
      </c>
      <c r="G8" s="27" t="s">
        <v>17</v>
      </c>
    </row>
    <row r="9" customFormat="false" ht="23.85" hidden="false" customHeight="false" outlineLevel="0" collapsed="false">
      <c r="A9" s="27" t="s">
        <v>544</v>
      </c>
      <c r="B9" s="29" t="s">
        <v>545</v>
      </c>
      <c r="C9" s="28" t="s">
        <v>546</v>
      </c>
      <c r="D9" s="28" t="s">
        <v>547</v>
      </c>
      <c r="E9" s="27" t="s">
        <v>548</v>
      </c>
      <c r="F9" s="28" t="s">
        <v>549</v>
      </c>
      <c r="G9" s="27" t="s">
        <v>22</v>
      </c>
    </row>
    <row r="10" customFormat="false" ht="23.85" hidden="false" customHeight="false" outlineLevel="0" collapsed="false">
      <c r="A10" s="27" t="s">
        <v>550</v>
      </c>
      <c r="B10" s="29" t="s">
        <v>18</v>
      </c>
      <c r="C10" s="28" t="s">
        <v>551</v>
      </c>
      <c r="D10" s="28" t="s">
        <v>552</v>
      </c>
      <c r="E10" s="27" t="s">
        <v>553</v>
      </c>
      <c r="F10" s="28" t="s">
        <v>554</v>
      </c>
      <c r="G10" s="27" t="s">
        <v>22</v>
      </c>
    </row>
    <row r="11" customFormat="false" ht="15" hidden="false" customHeight="false" outlineLevel="0" collapsed="false">
      <c r="A11" s="27" t="s">
        <v>555</v>
      </c>
      <c r="B11" s="29" t="s">
        <v>23</v>
      </c>
      <c r="C11" s="28" t="s">
        <v>556</v>
      </c>
      <c r="D11" s="28" t="s">
        <v>557</v>
      </c>
      <c r="E11" s="27" t="s">
        <v>548</v>
      </c>
      <c r="F11" s="28" t="s">
        <v>558</v>
      </c>
      <c r="G11" s="27" t="s">
        <v>22</v>
      </c>
    </row>
    <row r="12" customFormat="false" ht="15" hidden="false" customHeight="false" outlineLevel="0" collapsed="false">
      <c r="A12" s="27" t="s">
        <v>559</v>
      </c>
      <c r="B12" s="29" t="s">
        <v>27</v>
      </c>
      <c r="C12" s="28" t="s">
        <v>560</v>
      </c>
      <c r="D12" s="28" t="s">
        <v>561</v>
      </c>
      <c r="E12" s="27" t="s">
        <v>562</v>
      </c>
      <c r="F12" s="28" t="s">
        <v>563</v>
      </c>
      <c r="G12" s="27" t="s">
        <v>22</v>
      </c>
    </row>
    <row r="13" customFormat="false" ht="23.85" hidden="false" customHeight="false" outlineLevel="0" collapsed="false">
      <c r="A13" s="27" t="s">
        <v>564</v>
      </c>
      <c r="B13" s="29" t="s">
        <v>565</v>
      </c>
      <c r="C13" s="28" t="s">
        <v>566</v>
      </c>
      <c r="D13" s="28" t="s">
        <v>567</v>
      </c>
      <c r="E13" s="27" t="s">
        <v>553</v>
      </c>
      <c r="F13" s="28" t="s">
        <v>568</v>
      </c>
      <c r="G13" s="27" t="s">
        <v>22</v>
      </c>
    </row>
    <row r="14" customFormat="false" ht="23.85" hidden="false" customHeight="false" outlineLevel="0" collapsed="false">
      <c r="A14" s="27" t="s">
        <v>569</v>
      </c>
      <c r="B14" s="29" t="s">
        <v>35</v>
      </c>
      <c r="C14" s="28" t="s">
        <v>570</v>
      </c>
      <c r="D14" s="28" t="s">
        <v>571</v>
      </c>
      <c r="E14" s="27" t="s">
        <v>553</v>
      </c>
      <c r="F14" s="28" t="s">
        <v>572</v>
      </c>
      <c r="G14" s="27" t="s">
        <v>22</v>
      </c>
    </row>
    <row r="15" customFormat="false" ht="23.85" hidden="false" customHeight="false" outlineLevel="0" collapsed="false">
      <c r="A15" s="27" t="s">
        <v>573</v>
      </c>
      <c r="B15" s="29" t="s">
        <v>574</v>
      </c>
      <c r="C15" s="28" t="s">
        <v>575</v>
      </c>
      <c r="D15" s="28" t="s">
        <v>576</v>
      </c>
      <c r="E15" s="27" t="s">
        <v>577</v>
      </c>
      <c r="F15" s="28" t="s">
        <v>578</v>
      </c>
      <c r="G15" s="27" t="s">
        <v>22</v>
      </c>
    </row>
    <row r="16" customFormat="false" ht="15" hidden="false" customHeight="false" outlineLevel="0" collapsed="false">
      <c r="A16" s="27" t="s">
        <v>579</v>
      </c>
      <c r="B16" s="29" t="s">
        <v>47</v>
      </c>
      <c r="C16" s="28" t="s">
        <v>580</v>
      </c>
      <c r="D16" s="28" t="s">
        <v>581</v>
      </c>
      <c r="E16" s="27" t="s">
        <v>582</v>
      </c>
      <c r="F16" s="28" t="s">
        <v>583</v>
      </c>
      <c r="G16" s="27" t="s">
        <v>22</v>
      </c>
    </row>
    <row r="17" customFormat="false" ht="23.85" hidden="false" customHeight="false" outlineLevel="0" collapsed="false">
      <c r="A17" s="27" t="s">
        <v>584</v>
      </c>
      <c r="B17" s="29" t="s">
        <v>51</v>
      </c>
      <c r="C17" s="28" t="s">
        <v>585</v>
      </c>
      <c r="D17" s="28" t="s">
        <v>586</v>
      </c>
      <c r="E17" s="27" t="s">
        <v>346</v>
      </c>
      <c r="F17" s="28" t="s">
        <v>587</v>
      </c>
      <c r="G17" s="27" t="s">
        <v>22</v>
      </c>
    </row>
    <row r="18" customFormat="false" ht="15" hidden="false" customHeight="false" outlineLevel="0" collapsed="false">
      <c r="A18" s="27" t="s">
        <v>588</v>
      </c>
      <c r="B18" s="29" t="s">
        <v>55</v>
      </c>
      <c r="C18" s="28" t="s">
        <v>589</v>
      </c>
      <c r="D18" s="28" t="s">
        <v>590</v>
      </c>
      <c r="E18" s="27" t="s">
        <v>591</v>
      </c>
      <c r="F18" s="28" t="s">
        <v>592</v>
      </c>
      <c r="G18" s="27" t="s">
        <v>22</v>
      </c>
    </row>
    <row r="19" customFormat="false" ht="15" hidden="false" customHeight="false" outlineLevel="0" collapsed="false">
      <c r="A19" s="27" t="s">
        <v>593</v>
      </c>
      <c r="B19" s="29" t="s">
        <v>59</v>
      </c>
      <c r="C19" s="28" t="s">
        <v>594</v>
      </c>
      <c r="D19" s="28" t="s">
        <v>346</v>
      </c>
      <c r="E19" s="27" t="s">
        <v>582</v>
      </c>
      <c r="F19" s="28" t="s">
        <v>595</v>
      </c>
      <c r="G19" s="27" t="s">
        <v>22</v>
      </c>
    </row>
    <row r="20" customFormat="false" ht="23.85" hidden="false" customHeight="false" outlineLevel="0" collapsed="false">
      <c r="A20" s="27" t="s">
        <v>596</v>
      </c>
      <c r="B20" s="29" t="s">
        <v>63</v>
      </c>
      <c r="C20" s="28" t="s">
        <v>597</v>
      </c>
      <c r="D20" s="28" t="s">
        <v>598</v>
      </c>
      <c r="E20" s="27" t="s">
        <v>599</v>
      </c>
      <c r="F20" s="28" t="s">
        <v>600</v>
      </c>
      <c r="G20" s="27" t="s">
        <v>22</v>
      </c>
    </row>
    <row r="21" customFormat="false" ht="15" hidden="false" customHeight="false" outlineLevel="0" collapsed="false">
      <c r="A21" s="27" t="s">
        <v>601</v>
      </c>
      <c r="B21" s="29" t="s">
        <v>602</v>
      </c>
      <c r="C21" s="28" t="s">
        <v>603</v>
      </c>
      <c r="D21" s="28" t="s">
        <v>604</v>
      </c>
      <c r="E21" s="27" t="s">
        <v>605</v>
      </c>
      <c r="F21" s="28" t="s">
        <v>606</v>
      </c>
      <c r="G21" s="27" t="s">
        <v>22</v>
      </c>
    </row>
    <row r="22" customFormat="false" ht="23.85" hidden="false" customHeight="false" outlineLevel="0" collapsed="false">
      <c r="A22" s="27" t="s">
        <v>607</v>
      </c>
      <c r="B22" s="29" t="s">
        <v>71</v>
      </c>
      <c r="C22" s="28" t="s">
        <v>608</v>
      </c>
      <c r="D22" s="28" t="s">
        <v>609</v>
      </c>
      <c r="E22" s="27" t="s">
        <v>610</v>
      </c>
      <c r="F22" s="28" t="s">
        <v>611</v>
      </c>
      <c r="G22" s="27" t="s">
        <v>22</v>
      </c>
    </row>
    <row r="23" customFormat="false" ht="15" hidden="false" customHeight="false" outlineLevel="0" collapsed="false">
      <c r="A23" s="27" t="s">
        <v>612</v>
      </c>
      <c r="B23" s="29" t="s">
        <v>75</v>
      </c>
      <c r="C23" s="28" t="s">
        <v>613</v>
      </c>
      <c r="D23" s="28" t="s">
        <v>614</v>
      </c>
      <c r="E23" s="27" t="s">
        <v>577</v>
      </c>
      <c r="F23" s="28" t="s">
        <v>615</v>
      </c>
      <c r="G23" s="27" t="s">
        <v>22</v>
      </c>
    </row>
    <row r="24" customFormat="false" ht="15" hidden="false" customHeight="false" outlineLevel="0" collapsed="false">
      <c r="A24" s="27" t="s">
        <v>616</v>
      </c>
      <c r="B24" s="29" t="s">
        <v>79</v>
      </c>
      <c r="C24" s="28" t="s">
        <v>617</v>
      </c>
      <c r="D24" s="28" t="s">
        <v>618</v>
      </c>
      <c r="E24" s="27" t="s">
        <v>619</v>
      </c>
      <c r="F24" s="28" t="s">
        <v>620</v>
      </c>
      <c r="G24" s="27" t="s">
        <v>22</v>
      </c>
    </row>
    <row r="25" customFormat="false" ht="23.85" hidden="false" customHeight="false" outlineLevel="0" collapsed="false">
      <c r="A25" s="27" t="s">
        <v>621</v>
      </c>
      <c r="B25" s="29" t="s">
        <v>83</v>
      </c>
      <c r="C25" s="28" t="s">
        <v>622</v>
      </c>
      <c r="D25" s="28" t="s">
        <v>346</v>
      </c>
      <c r="E25" s="27" t="s">
        <v>582</v>
      </c>
      <c r="F25" s="28" t="s">
        <v>623</v>
      </c>
      <c r="G25" s="27" t="s">
        <v>22</v>
      </c>
    </row>
    <row r="26" customFormat="false" ht="15" hidden="false" customHeight="false" outlineLevel="0" collapsed="false">
      <c r="A26" s="27" t="s">
        <v>624</v>
      </c>
      <c r="B26" s="29" t="s">
        <v>87</v>
      </c>
      <c r="C26" s="28" t="s">
        <v>625</v>
      </c>
      <c r="D26" s="28" t="s">
        <v>346</v>
      </c>
      <c r="E26" s="27" t="s">
        <v>346</v>
      </c>
      <c r="F26" s="28" t="s">
        <v>626</v>
      </c>
      <c r="G26" s="27" t="s">
        <v>22</v>
      </c>
    </row>
    <row r="27" customFormat="false" ht="23.85" hidden="false" customHeight="false" outlineLevel="0" collapsed="false">
      <c r="A27" s="27" t="s">
        <v>627</v>
      </c>
      <c r="B27" s="29" t="s">
        <v>91</v>
      </c>
      <c r="C27" s="28" t="s">
        <v>628</v>
      </c>
      <c r="D27" s="28" t="s">
        <v>346</v>
      </c>
      <c r="E27" s="27" t="s">
        <v>542</v>
      </c>
      <c r="F27" s="28" t="s">
        <v>629</v>
      </c>
      <c r="G27" s="27" t="s">
        <v>22</v>
      </c>
    </row>
    <row r="28" customFormat="false" ht="15" hidden="false" customHeight="false" outlineLevel="0" collapsed="false">
      <c r="A28" s="27" t="s">
        <v>630</v>
      </c>
      <c r="B28" s="29" t="s">
        <v>631</v>
      </c>
      <c r="C28" s="28" t="s">
        <v>632</v>
      </c>
      <c r="D28" s="28" t="s">
        <v>633</v>
      </c>
      <c r="E28" s="27" t="s">
        <v>346</v>
      </c>
      <c r="F28" s="28" t="s">
        <v>634</v>
      </c>
      <c r="G28" s="27" t="s">
        <v>22</v>
      </c>
    </row>
    <row r="29" customFormat="false" ht="23.85" hidden="false" customHeight="false" outlineLevel="0" collapsed="false">
      <c r="A29" s="27" t="s">
        <v>635</v>
      </c>
      <c r="B29" s="29" t="s">
        <v>636</v>
      </c>
      <c r="C29" s="28" t="s">
        <v>637</v>
      </c>
      <c r="D29" s="28" t="s">
        <v>346</v>
      </c>
      <c r="E29" s="27" t="s">
        <v>638</v>
      </c>
      <c r="F29" s="28" t="s">
        <v>639</v>
      </c>
      <c r="G29" s="27" t="s">
        <v>22</v>
      </c>
    </row>
    <row r="30" customFormat="false" ht="15" hidden="false" customHeight="false" outlineLevel="0" collapsed="false">
      <c r="A30" s="27" t="s">
        <v>640</v>
      </c>
      <c r="B30" s="29" t="s">
        <v>641</v>
      </c>
      <c r="C30" s="28" t="s">
        <v>642</v>
      </c>
      <c r="D30" s="28" t="s">
        <v>346</v>
      </c>
      <c r="E30" s="27" t="s">
        <v>562</v>
      </c>
      <c r="F30" s="28" t="s">
        <v>643</v>
      </c>
      <c r="G30" s="27" t="s">
        <v>22</v>
      </c>
    </row>
    <row r="31" customFormat="false" ht="23.85" hidden="false" customHeight="false" outlineLevel="0" collapsed="false">
      <c r="A31" s="27" t="s">
        <v>644</v>
      </c>
      <c r="B31" s="29" t="s">
        <v>107</v>
      </c>
      <c r="C31" s="28" t="s">
        <v>645</v>
      </c>
      <c r="D31" s="28" t="s">
        <v>646</v>
      </c>
      <c r="E31" s="27" t="s">
        <v>542</v>
      </c>
      <c r="F31" s="28" t="s">
        <v>647</v>
      </c>
      <c r="G31" s="27" t="s">
        <v>22</v>
      </c>
    </row>
    <row r="32" customFormat="false" ht="23.85" hidden="false" customHeight="false" outlineLevel="0" collapsed="false">
      <c r="A32" s="27" t="s">
        <v>648</v>
      </c>
      <c r="B32" s="29" t="s">
        <v>111</v>
      </c>
      <c r="C32" s="28" t="s">
        <v>649</v>
      </c>
      <c r="D32" s="28" t="s">
        <v>650</v>
      </c>
      <c r="E32" s="27" t="s">
        <v>651</v>
      </c>
      <c r="F32" s="28" t="s">
        <v>652</v>
      </c>
      <c r="G32" s="27" t="s">
        <v>22</v>
      </c>
    </row>
    <row r="33" customFormat="false" ht="23.85" hidden="false" customHeight="false" outlineLevel="0" collapsed="false">
      <c r="A33" s="27" t="s">
        <v>653</v>
      </c>
      <c r="B33" s="29" t="s">
        <v>115</v>
      </c>
      <c r="C33" s="28" t="s">
        <v>654</v>
      </c>
      <c r="D33" s="28" t="s">
        <v>655</v>
      </c>
      <c r="E33" s="27" t="s">
        <v>638</v>
      </c>
      <c r="F33" s="28" t="s">
        <v>656</v>
      </c>
      <c r="G33" s="27" t="s">
        <v>22</v>
      </c>
    </row>
    <row r="34" customFormat="false" ht="23.85" hidden="false" customHeight="false" outlineLevel="0" collapsed="false">
      <c r="A34" s="27" t="s">
        <v>657</v>
      </c>
      <c r="B34" s="29" t="s">
        <v>658</v>
      </c>
      <c r="C34" s="28" t="s">
        <v>659</v>
      </c>
      <c r="D34" s="28" t="s">
        <v>660</v>
      </c>
      <c r="E34" s="27" t="s">
        <v>542</v>
      </c>
      <c r="F34" s="28" t="s">
        <v>661</v>
      </c>
      <c r="G34" s="27" t="s">
        <v>22</v>
      </c>
    </row>
    <row r="35" customFormat="false" ht="15" hidden="false" customHeight="false" outlineLevel="0" collapsed="false">
      <c r="A35" s="27" t="s">
        <v>662</v>
      </c>
      <c r="B35" s="29" t="s">
        <v>123</v>
      </c>
      <c r="C35" s="28" t="s">
        <v>663</v>
      </c>
      <c r="D35" s="28" t="s">
        <v>664</v>
      </c>
      <c r="E35" s="27" t="s">
        <v>346</v>
      </c>
      <c r="F35" s="28" t="s">
        <v>665</v>
      </c>
      <c r="G35" s="27" t="s">
        <v>22</v>
      </c>
    </row>
    <row r="38" customFormat="false" ht="15" hidden="false" customHeight="false" outlineLevel="0" collapsed="false">
      <c r="A38" s="40" t="s">
        <v>666</v>
      </c>
    </row>
    <row r="39" customFormat="false" ht="15" hidden="false" customHeight="false" outlineLevel="0" collapsed="false">
      <c r="A39" s="5" t="s">
        <v>667</v>
      </c>
      <c r="B39" s="5" t="s">
        <v>668</v>
      </c>
      <c r="C39" s="5" t="s">
        <v>669</v>
      </c>
      <c r="D39" s="5" t="s">
        <v>670</v>
      </c>
      <c r="E39" s="5" t="s">
        <v>671</v>
      </c>
      <c r="F39" s="5" t="s">
        <v>12</v>
      </c>
      <c r="G39" s="5" t="s">
        <v>539</v>
      </c>
    </row>
    <row r="40" customFormat="false" ht="15" hidden="false" customHeight="false" outlineLevel="0" collapsed="false">
      <c r="A40" s="27" t="s">
        <v>672</v>
      </c>
      <c r="B40" s="29" t="s">
        <v>673</v>
      </c>
      <c r="C40" s="27" t="s">
        <v>674</v>
      </c>
      <c r="D40" s="27" t="s">
        <v>675</v>
      </c>
      <c r="E40" s="27" t="s">
        <v>17</v>
      </c>
      <c r="F40" s="28" t="s">
        <v>676</v>
      </c>
      <c r="G40" s="27" t="s">
        <v>17</v>
      </c>
    </row>
    <row r="41" customFormat="false" ht="23.85" hidden="false" customHeight="false" outlineLevel="0" collapsed="false">
      <c r="A41" s="27" t="s">
        <v>677</v>
      </c>
      <c r="B41" s="29" t="s">
        <v>678</v>
      </c>
      <c r="C41" s="27" t="s">
        <v>679</v>
      </c>
      <c r="D41" s="27" t="s">
        <v>680</v>
      </c>
      <c r="E41" s="27" t="s">
        <v>681</v>
      </c>
      <c r="F41" s="28" t="s">
        <v>682</v>
      </c>
      <c r="G41" s="27" t="s">
        <v>683</v>
      </c>
    </row>
    <row r="42" customFormat="false" ht="15" hidden="false" customHeight="false" outlineLevel="0" collapsed="false">
      <c r="A42" s="27" t="s">
        <v>684</v>
      </c>
      <c r="B42" s="29" t="s">
        <v>685</v>
      </c>
      <c r="C42" s="27" t="s">
        <v>686</v>
      </c>
      <c r="D42" s="27" t="s">
        <v>687</v>
      </c>
      <c r="E42" s="27" t="s">
        <v>688</v>
      </c>
      <c r="F42" s="28" t="s">
        <v>689</v>
      </c>
      <c r="G42" s="27" t="s">
        <v>22</v>
      </c>
    </row>
    <row r="43" customFormat="false" ht="23.85" hidden="false" customHeight="false" outlineLevel="0" collapsed="false">
      <c r="A43" s="27" t="s">
        <v>690</v>
      </c>
      <c r="B43" s="29" t="s">
        <v>691</v>
      </c>
      <c r="C43" s="27" t="s">
        <v>692</v>
      </c>
      <c r="D43" s="27" t="s">
        <v>693</v>
      </c>
      <c r="E43" s="27" t="s">
        <v>694</v>
      </c>
      <c r="F43" s="28" t="s">
        <v>695</v>
      </c>
      <c r="G43" s="27" t="s">
        <v>22</v>
      </c>
    </row>
    <row r="44" customFormat="false" ht="15" hidden="false" customHeight="false" outlineLevel="0" collapsed="false">
      <c r="A44" s="27" t="s">
        <v>696</v>
      </c>
      <c r="B44" s="29" t="s">
        <v>697</v>
      </c>
      <c r="C44" s="27" t="s">
        <v>698</v>
      </c>
      <c r="D44" s="27" t="s">
        <v>699</v>
      </c>
      <c r="E44" s="27" t="s">
        <v>681</v>
      </c>
      <c r="F44" s="28" t="s">
        <v>596</v>
      </c>
      <c r="G44" s="27" t="s">
        <v>22</v>
      </c>
    </row>
    <row r="45" customFormat="false" ht="15" hidden="false" customHeight="false" outlineLevel="0" collapsed="false">
      <c r="A45" s="27" t="s">
        <v>700</v>
      </c>
      <c r="B45" s="29" t="s">
        <v>701</v>
      </c>
      <c r="C45" s="27" t="s">
        <v>702</v>
      </c>
      <c r="D45" s="27" t="s">
        <v>703</v>
      </c>
      <c r="E45" s="27" t="s">
        <v>681</v>
      </c>
      <c r="F45" s="28" t="s">
        <v>596</v>
      </c>
      <c r="G45" s="27" t="s">
        <v>22</v>
      </c>
    </row>
    <row r="46" customFormat="false" ht="15" hidden="false" customHeight="false" outlineLevel="0" collapsed="false">
      <c r="A46" s="27" t="s">
        <v>704</v>
      </c>
      <c r="B46" s="29" t="s">
        <v>705</v>
      </c>
      <c r="C46" s="27" t="s">
        <v>706</v>
      </c>
      <c r="D46" s="27" t="s">
        <v>707</v>
      </c>
      <c r="E46" s="27" t="s">
        <v>708</v>
      </c>
      <c r="F46" s="28" t="s">
        <v>709</v>
      </c>
      <c r="G46" s="27" t="s">
        <v>22</v>
      </c>
    </row>
    <row r="47" customFormat="false" ht="35.05" hidden="false" customHeight="false" outlineLevel="0" collapsed="false">
      <c r="A47" s="27" t="s">
        <v>710</v>
      </c>
      <c r="B47" s="29" t="s">
        <v>711</v>
      </c>
      <c r="C47" s="27" t="s">
        <v>712</v>
      </c>
      <c r="D47" s="27" t="s">
        <v>713</v>
      </c>
      <c r="E47" s="27" t="s">
        <v>694</v>
      </c>
      <c r="F47" s="28" t="s">
        <v>714</v>
      </c>
      <c r="G47" s="27" t="s">
        <v>22</v>
      </c>
    </row>
    <row r="48" customFormat="false" ht="23.85" hidden="false" customHeight="false" outlineLevel="0" collapsed="false">
      <c r="A48" s="27" t="s">
        <v>715</v>
      </c>
      <c r="B48" s="29" t="s">
        <v>716</v>
      </c>
      <c r="C48" s="27" t="s">
        <v>717</v>
      </c>
      <c r="D48" s="27" t="s">
        <v>718</v>
      </c>
      <c r="E48" s="27" t="s">
        <v>681</v>
      </c>
      <c r="F48" s="28" t="s">
        <v>719</v>
      </c>
      <c r="G48" s="27" t="s">
        <v>22</v>
      </c>
    </row>
    <row r="49" customFormat="false" ht="23.85" hidden="false" customHeight="false" outlineLevel="0" collapsed="false">
      <c r="A49" s="27" t="s">
        <v>720</v>
      </c>
      <c r="B49" s="29" t="s">
        <v>721</v>
      </c>
      <c r="C49" s="27" t="s">
        <v>722</v>
      </c>
      <c r="D49" s="27" t="s">
        <v>723</v>
      </c>
      <c r="E49" s="27" t="s">
        <v>236</v>
      </c>
      <c r="F49" s="28" t="s">
        <v>724</v>
      </c>
      <c r="G49" s="27" t="s">
        <v>22</v>
      </c>
    </row>
    <row r="50" customFormat="false" ht="15" hidden="false" customHeight="false" outlineLevel="0" collapsed="false">
      <c r="A50" s="27" t="s">
        <v>725</v>
      </c>
      <c r="B50" s="29" t="s">
        <v>726</v>
      </c>
      <c r="C50" s="27" t="s">
        <v>727</v>
      </c>
      <c r="D50" s="27" t="s">
        <v>728</v>
      </c>
      <c r="E50" s="27" t="s">
        <v>708</v>
      </c>
      <c r="F50" s="28" t="s">
        <v>729</v>
      </c>
      <c r="G50" s="27" t="s">
        <v>22</v>
      </c>
    </row>
    <row r="51" customFormat="false" ht="23.85" hidden="false" customHeight="false" outlineLevel="0" collapsed="false">
      <c r="A51" s="27" t="s">
        <v>730</v>
      </c>
      <c r="B51" s="29" t="s">
        <v>731</v>
      </c>
      <c r="C51" s="27" t="s">
        <v>732</v>
      </c>
      <c r="D51" s="27" t="s">
        <v>733</v>
      </c>
      <c r="E51" s="27" t="s">
        <v>236</v>
      </c>
      <c r="F51" s="28" t="s">
        <v>734</v>
      </c>
      <c r="G51" s="27" t="s">
        <v>22</v>
      </c>
    </row>
    <row r="52" customFormat="false" ht="23.85" hidden="false" customHeight="false" outlineLevel="0" collapsed="false">
      <c r="A52" s="27" t="s">
        <v>735</v>
      </c>
      <c r="B52" s="29" t="s">
        <v>736</v>
      </c>
      <c r="C52" s="27" t="s">
        <v>737</v>
      </c>
      <c r="D52" s="27" t="s">
        <v>738</v>
      </c>
      <c r="E52" s="27" t="s">
        <v>681</v>
      </c>
      <c r="F52" s="28" t="s">
        <v>550</v>
      </c>
      <c r="G52" s="27" t="s">
        <v>22</v>
      </c>
    </row>
    <row r="55" customFormat="false" ht="15" hidden="false" customHeight="false" outlineLevel="0" collapsed="false">
      <c r="A55" s="40" t="s">
        <v>739</v>
      </c>
    </row>
    <row r="56" customFormat="false" ht="15" hidden="false" customHeight="false" outlineLevel="0" collapsed="false">
      <c r="A56" s="5" t="s">
        <v>667</v>
      </c>
      <c r="B56" s="5" t="s">
        <v>668</v>
      </c>
      <c r="C56" s="5" t="s">
        <v>669</v>
      </c>
      <c r="D56" s="5" t="s">
        <v>670</v>
      </c>
      <c r="E56" s="5" t="s">
        <v>671</v>
      </c>
      <c r="F56" s="5" t="s">
        <v>12</v>
      </c>
      <c r="G56" s="5" t="s">
        <v>539</v>
      </c>
    </row>
    <row r="57" customFormat="false" ht="15" hidden="false" customHeight="false" outlineLevel="0" collapsed="false">
      <c r="A57" s="27" t="s">
        <v>740</v>
      </c>
      <c r="B57" s="29" t="s">
        <v>741</v>
      </c>
      <c r="C57" s="27" t="s">
        <v>742</v>
      </c>
      <c r="D57" s="27" t="s">
        <v>743</v>
      </c>
      <c r="E57" s="27" t="s">
        <v>708</v>
      </c>
      <c r="F57" s="28" t="s">
        <v>744</v>
      </c>
      <c r="G57" s="27" t="s">
        <v>22</v>
      </c>
    </row>
    <row r="58" customFormat="false" ht="23.85" hidden="false" customHeight="false" outlineLevel="0" collapsed="false">
      <c r="A58" s="27" t="s">
        <v>745</v>
      </c>
      <c r="B58" s="29" t="s">
        <v>746</v>
      </c>
      <c r="C58" s="27" t="s">
        <v>747</v>
      </c>
      <c r="D58" s="27" t="s">
        <v>748</v>
      </c>
      <c r="E58" s="27" t="s">
        <v>236</v>
      </c>
      <c r="F58" s="28" t="s">
        <v>749</v>
      </c>
      <c r="G58" s="27" t="s">
        <v>22</v>
      </c>
    </row>
    <row r="59" customFormat="false" ht="35.05" hidden="false" customHeight="false" outlineLevel="0" collapsed="false">
      <c r="A59" s="27" t="s">
        <v>750</v>
      </c>
      <c r="B59" s="29" t="s">
        <v>751</v>
      </c>
      <c r="C59" s="27" t="s">
        <v>752</v>
      </c>
      <c r="D59" s="27" t="s">
        <v>753</v>
      </c>
      <c r="E59" s="27" t="s">
        <v>754</v>
      </c>
      <c r="F59" s="28" t="s">
        <v>755</v>
      </c>
      <c r="G59" s="27" t="s">
        <v>22</v>
      </c>
    </row>
    <row r="60" customFormat="false" ht="15" hidden="false" customHeight="false" outlineLevel="0" collapsed="false">
      <c r="A60" s="27" t="s">
        <v>756</v>
      </c>
      <c r="B60" s="29" t="s">
        <v>685</v>
      </c>
      <c r="C60" s="27" t="s">
        <v>757</v>
      </c>
      <c r="D60" s="27" t="s">
        <v>687</v>
      </c>
      <c r="E60" s="27" t="s">
        <v>708</v>
      </c>
      <c r="F60" s="28" t="s">
        <v>758</v>
      </c>
      <c r="G60" s="27" t="s">
        <v>22</v>
      </c>
    </row>
    <row r="61" customFormat="false" ht="15" hidden="false" customHeight="false" outlineLevel="0" collapsed="false">
      <c r="A61" s="27" t="s">
        <v>759</v>
      </c>
      <c r="B61" s="29" t="s">
        <v>760</v>
      </c>
      <c r="C61" s="27" t="s">
        <v>761</v>
      </c>
      <c r="D61" s="27" t="s">
        <v>762</v>
      </c>
      <c r="E61" s="27" t="s">
        <v>681</v>
      </c>
      <c r="F61" s="28" t="s">
        <v>607</v>
      </c>
      <c r="G61" s="27" t="s">
        <v>22</v>
      </c>
    </row>
    <row r="62" customFormat="false" ht="35.05" hidden="false" customHeight="false" outlineLevel="0" collapsed="false">
      <c r="A62" s="27" t="s">
        <v>763</v>
      </c>
      <c r="B62" s="29" t="s">
        <v>764</v>
      </c>
      <c r="C62" s="27" t="s">
        <v>765</v>
      </c>
      <c r="D62" s="27" t="s">
        <v>766</v>
      </c>
      <c r="E62" s="27" t="s">
        <v>754</v>
      </c>
      <c r="F62" s="28" t="s">
        <v>767</v>
      </c>
      <c r="G62" s="27" t="s">
        <v>22</v>
      </c>
    </row>
    <row r="63" customFormat="false" ht="23.85" hidden="false" customHeight="false" outlineLevel="0" collapsed="false">
      <c r="A63" s="27" t="s">
        <v>768</v>
      </c>
      <c r="B63" s="29" t="s">
        <v>769</v>
      </c>
      <c r="C63" s="27" t="s">
        <v>770</v>
      </c>
      <c r="D63" s="27" t="s">
        <v>771</v>
      </c>
      <c r="E63" s="27" t="s">
        <v>754</v>
      </c>
      <c r="F63" s="28" t="s">
        <v>772</v>
      </c>
      <c r="G63" s="27" t="s">
        <v>22</v>
      </c>
    </row>
    <row r="64" customFormat="false" ht="23.85" hidden="false" customHeight="false" outlineLevel="0" collapsed="false">
      <c r="A64" s="27" t="s">
        <v>773</v>
      </c>
      <c r="B64" s="29" t="s">
        <v>774</v>
      </c>
      <c r="C64" s="27" t="s">
        <v>775</v>
      </c>
      <c r="D64" s="27" t="s">
        <v>776</v>
      </c>
      <c r="E64" s="27" t="s">
        <v>777</v>
      </c>
      <c r="F64" s="28" t="s">
        <v>778</v>
      </c>
      <c r="G64" s="27" t="s">
        <v>22</v>
      </c>
    </row>
    <row r="65" customFormat="false" ht="15" hidden="false" customHeight="false" outlineLevel="0" collapsed="false">
      <c r="A65" s="27" t="s">
        <v>779</v>
      </c>
      <c r="B65" s="29" t="s">
        <v>780</v>
      </c>
      <c r="C65" s="27" t="s">
        <v>781</v>
      </c>
      <c r="D65" s="27" t="s">
        <v>782</v>
      </c>
      <c r="E65" s="27" t="s">
        <v>708</v>
      </c>
      <c r="F65" s="28" t="s">
        <v>729</v>
      </c>
      <c r="G65" s="27" t="s">
        <v>22</v>
      </c>
    </row>
    <row r="66" customFormat="false" ht="23.85" hidden="false" customHeight="false" outlineLevel="0" collapsed="false">
      <c r="A66" s="27" t="s">
        <v>783</v>
      </c>
      <c r="B66" s="29" t="s">
        <v>716</v>
      </c>
      <c r="C66" s="27" t="s">
        <v>784</v>
      </c>
      <c r="D66" s="27" t="s">
        <v>785</v>
      </c>
      <c r="E66" s="27" t="s">
        <v>708</v>
      </c>
      <c r="F66" s="28" t="s">
        <v>786</v>
      </c>
      <c r="G66" s="27" t="s">
        <v>22</v>
      </c>
    </row>
    <row r="67" customFormat="false" ht="23.85" hidden="false" customHeight="false" outlineLevel="0" collapsed="false">
      <c r="A67" s="27" t="s">
        <v>787</v>
      </c>
      <c r="B67" s="29" t="s">
        <v>788</v>
      </c>
      <c r="C67" s="27" t="s">
        <v>789</v>
      </c>
      <c r="D67" s="27" t="s">
        <v>790</v>
      </c>
      <c r="E67" s="27" t="s">
        <v>708</v>
      </c>
      <c r="F67" s="28" t="s">
        <v>791</v>
      </c>
      <c r="G67" s="27" t="s">
        <v>22</v>
      </c>
    </row>
    <row r="68" customFormat="false" ht="15" hidden="false" customHeight="false" outlineLevel="0" collapsed="false">
      <c r="A68" s="27" t="s">
        <v>792</v>
      </c>
      <c r="B68" s="29" t="s">
        <v>793</v>
      </c>
      <c r="C68" s="27" t="s">
        <v>794</v>
      </c>
      <c r="D68" s="27" t="s">
        <v>703</v>
      </c>
      <c r="E68" s="27" t="s">
        <v>708</v>
      </c>
      <c r="F68" s="28" t="s">
        <v>795</v>
      </c>
      <c r="G68" s="27" t="s">
        <v>22</v>
      </c>
    </row>
    <row r="69" customFormat="false" ht="15" hidden="false" customHeight="false" outlineLevel="0" collapsed="false">
      <c r="A69" s="27" t="s">
        <v>796</v>
      </c>
      <c r="B69" s="29" t="s">
        <v>797</v>
      </c>
      <c r="C69" s="27" t="s">
        <v>798</v>
      </c>
      <c r="D69" s="27" t="s">
        <v>703</v>
      </c>
      <c r="E69" s="27" t="s">
        <v>708</v>
      </c>
      <c r="F69" s="28" t="s">
        <v>799</v>
      </c>
      <c r="G69" s="27" t="s">
        <v>22</v>
      </c>
    </row>
    <row r="70" customFormat="false" ht="15" hidden="false" customHeight="false" outlineLevel="0" collapsed="false">
      <c r="A70" s="27" t="s">
        <v>800</v>
      </c>
      <c r="B70" s="29" t="s">
        <v>801</v>
      </c>
      <c r="C70" s="27" t="s">
        <v>802</v>
      </c>
      <c r="D70" s="27" t="s">
        <v>707</v>
      </c>
      <c r="E70" s="27" t="s">
        <v>708</v>
      </c>
      <c r="F70" s="28" t="s">
        <v>803</v>
      </c>
      <c r="G70" s="27" t="s">
        <v>22</v>
      </c>
    </row>
    <row r="71" customFormat="false" ht="23.85" hidden="false" customHeight="false" outlineLevel="0" collapsed="false">
      <c r="A71" s="27" t="s">
        <v>804</v>
      </c>
      <c r="B71" s="29" t="s">
        <v>805</v>
      </c>
      <c r="C71" s="27" t="s">
        <v>806</v>
      </c>
      <c r="D71" s="27" t="s">
        <v>790</v>
      </c>
      <c r="E71" s="27" t="s">
        <v>708</v>
      </c>
      <c r="F71" s="28" t="s">
        <v>807</v>
      </c>
      <c r="G71" s="27" t="s">
        <v>22</v>
      </c>
    </row>
    <row r="72" customFormat="false" ht="23.85" hidden="false" customHeight="false" outlineLevel="0" collapsed="false">
      <c r="A72" s="27" t="s">
        <v>808</v>
      </c>
      <c r="B72" s="29" t="s">
        <v>809</v>
      </c>
      <c r="C72" s="27" t="s">
        <v>810</v>
      </c>
      <c r="D72" s="27" t="s">
        <v>738</v>
      </c>
      <c r="E72" s="27" t="s">
        <v>708</v>
      </c>
      <c r="F72" s="28" t="s">
        <v>811</v>
      </c>
      <c r="G72" s="27" t="s">
        <v>22</v>
      </c>
    </row>
    <row r="73" customFormat="false" ht="23.85" hidden="false" customHeight="false" outlineLevel="0" collapsed="false">
      <c r="A73" s="27" t="s">
        <v>812</v>
      </c>
      <c r="B73" s="29" t="s">
        <v>813</v>
      </c>
      <c r="C73" s="27" t="s">
        <v>814</v>
      </c>
      <c r="D73" s="27" t="s">
        <v>733</v>
      </c>
      <c r="E73" s="27" t="s">
        <v>708</v>
      </c>
      <c r="F73" s="28" t="s">
        <v>815</v>
      </c>
      <c r="G73" s="27" t="s">
        <v>22</v>
      </c>
    </row>
    <row r="76" customFormat="false" ht="15" hidden="false" customHeight="false" outlineLevel="0" collapsed="false">
      <c r="A76" s="40" t="s">
        <v>816</v>
      </c>
    </row>
    <row r="77" customFormat="false" ht="15" hidden="false" customHeight="false" outlineLevel="0" collapsed="false">
      <c r="A77" s="5" t="s">
        <v>817</v>
      </c>
      <c r="B77" s="5" t="s">
        <v>818</v>
      </c>
      <c r="C77" s="5" t="s">
        <v>6</v>
      </c>
      <c r="D77" s="5" t="s">
        <v>819</v>
      </c>
      <c r="E77" s="5"/>
      <c r="F77" s="5"/>
      <c r="G77" s="5"/>
    </row>
    <row r="78" customFormat="false" ht="15" hidden="false" customHeight="false" outlineLevel="0" collapsed="false">
      <c r="A78" s="27" t="s">
        <v>820</v>
      </c>
      <c r="B78" s="27" t="s">
        <v>821</v>
      </c>
      <c r="C78" s="29" t="s">
        <v>822</v>
      </c>
      <c r="D78" s="28" t="s">
        <v>823</v>
      </c>
      <c r="E78" s="28"/>
      <c r="F78" s="28"/>
      <c r="G78" s="28"/>
    </row>
    <row r="79" customFormat="false" ht="15" hidden="false" customHeight="false" outlineLevel="0" collapsed="false">
      <c r="A79" s="27" t="s">
        <v>820</v>
      </c>
      <c r="B79" s="27" t="s">
        <v>824</v>
      </c>
      <c r="C79" s="29" t="s">
        <v>825</v>
      </c>
      <c r="D79" s="28" t="s">
        <v>826</v>
      </c>
      <c r="E79" s="28"/>
      <c r="F79" s="28"/>
      <c r="G79" s="28"/>
    </row>
    <row r="80" customFormat="false" ht="15" hidden="false" customHeight="false" outlineLevel="0" collapsed="false">
      <c r="A80" s="27" t="s">
        <v>820</v>
      </c>
      <c r="B80" s="27" t="s">
        <v>827</v>
      </c>
      <c r="C80" s="29" t="s">
        <v>828</v>
      </c>
      <c r="D80" s="28" t="s">
        <v>829</v>
      </c>
      <c r="E80" s="28"/>
      <c r="F80" s="28"/>
      <c r="G80" s="28"/>
    </row>
    <row r="81" customFormat="false" ht="15" hidden="false" customHeight="false" outlineLevel="0" collapsed="false">
      <c r="A81" s="27" t="s">
        <v>820</v>
      </c>
      <c r="B81" s="27" t="s">
        <v>830</v>
      </c>
      <c r="C81" s="29" t="s">
        <v>831</v>
      </c>
      <c r="D81" s="28" t="s">
        <v>832</v>
      </c>
      <c r="E81" s="28"/>
      <c r="F81" s="28"/>
      <c r="G81" s="28"/>
    </row>
    <row r="82" customFormat="false" ht="15" hidden="false" customHeight="false" outlineLevel="0" collapsed="false">
      <c r="A82" s="27" t="s">
        <v>820</v>
      </c>
      <c r="B82" s="27" t="s">
        <v>833</v>
      </c>
      <c r="C82" s="29" t="s">
        <v>834</v>
      </c>
      <c r="D82" s="28" t="s">
        <v>835</v>
      </c>
      <c r="E82" s="28"/>
      <c r="F82" s="28"/>
      <c r="G82" s="28"/>
    </row>
    <row r="83" customFormat="false" ht="15" hidden="false" customHeight="false" outlineLevel="0" collapsed="false">
      <c r="A83" s="27" t="s">
        <v>820</v>
      </c>
      <c r="B83" s="27" t="s">
        <v>836</v>
      </c>
      <c r="C83" s="29" t="s">
        <v>837</v>
      </c>
      <c r="D83" s="28" t="s">
        <v>838</v>
      </c>
      <c r="E83" s="28"/>
      <c r="F83" s="28"/>
      <c r="G83" s="28"/>
    </row>
    <row r="84" customFormat="false" ht="15" hidden="false" customHeight="false" outlineLevel="0" collapsed="false">
      <c r="A84" s="27" t="s">
        <v>839</v>
      </c>
      <c r="B84" s="27" t="s">
        <v>840</v>
      </c>
      <c r="C84" s="29" t="s">
        <v>841</v>
      </c>
      <c r="D84" s="28" t="s">
        <v>842</v>
      </c>
      <c r="E84" s="28"/>
      <c r="F84" s="28"/>
      <c r="G84" s="28"/>
    </row>
    <row r="85" customFormat="false" ht="15" hidden="false" customHeight="false" outlineLevel="0" collapsed="false">
      <c r="A85" s="27" t="s">
        <v>839</v>
      </c>
      <c r="B85" s="27" t="s">
        <v>843</v>
      </c>
      <c r="C85" s="29" t="s">
        <v>844</v>
      </c>
      <c r="D85" s="28" t="s">
        <v>845</v>
      </c>
      <c r="E85" s="28"/>
      <c r="F85" s="28"/>
      <c r="G85" s="28"/>
    </row>
    <row r="86" customFormat="false" ht="15" hidden="false" customHeight="false" outlineLevel="0" collapsed="false">
      <c r="A86" s="27" t="s">
        <v>839</v>
      </c>
      <c r="B86" s="27" t="s">
        <v>846</v>
      </c>
      <c r="C86" s="29" t="s">
        <v>847</v>
      </c>
      <c r="D86" s="28" t="s">
        <v>848</v>
      </c>
      <c r="E86" s="28"/>
      <c r="F86" s="28"/>
      <c r="G86" s="28"/>
    </row>
    <row r="87" customFormat="false" ht="15" hidden="false" customHeight="false" outlineLevel="0" collapsed="false">
      <c r="A87" s="27" t="s">
        <v>839</v>
      </c>
      <c r="B87" s="27" t="s">
        <v>849</v>
      </c>
      <c r="C87" s="29" t="s">
        <v>850</v>
      </c>
      <c r="D87" s="28" t="s">
        <v>851</v>
      </c>
      <c r="E87" s="28"/>
      <c r="F87" s="28"/>
      <c r="G87" s="28"/>
    </row>
    <row r="88" customFormat="false" ht="15" hidden="false" customHeight="false" outlineLevel="0" collapsed="false">
      <c r="A88" s="27" t="s">
        <v>839</v>
      </c>
      <c r="B88" s="27" t="s">
        <v>852</v>
      </c>
      <c r="C88" s="29" t="s">
        <v>853</v>
      </c>
      <c r="D88" s="28" t="s">
        <v>854</v>
      </c>
      <c r="E88" s="28"/>
      <c r="F88" s="28"/>
      <c r="G88" s="28"/>
    </row>
    <row r="89" customFormat="false" ht="15" hidden="false" customHeight="false" outlineLevel="0" collapsed="false">
      <c r="A89" s="27" t="s">
        <v>839</v>
      </c>
      <c r="B89" s="27" t="s">
        <v>855</v>
      </c>
      <c r="C89" s="29" t="s">
        <v>856</v>
      </c>
      <c r="D89" s="28" t="s">
        <v>857</v>
      </c>
      <c r="E89" s="28"/>
      <c r="F89" s="28"/>
      <c r="G89" s="28"/>
    </row>
    <row r="90" customFormat="false" ht="15" hidden="false" customHeight="false" outlineLevel="0" collapsed="false">
      <c r="A90" s="27" t="s">
        <v>839</v>
      </c>
      <c r="B90" s="27" t="s">
        <v>858</v>
      </c>
      <c r="C90" s="29" t="s">
        <v>859</v>
      </c>
      <c r="D90" s="28" t="s">
        <v>860</v>
      </c>
      <c r="E90" s="28"/>
      <c r="F90" s="28"/>
      <c r="G90" s="28"/>
    </row>
    <row r="91" customFormat="false" ht="15" hidden="false" customHeight="false" outlineLevel="0" collapsed="false">
      <c r="A91" s="27" t="s">
        <v>839</v>
      </c>
      <c r="B91" s="27" t="s">
        <v>861</v>
      </c>
      <c r="C91" s="29" t="s">
        <v>862</v>
      </c>
      <c r="D91" s="28" t="s">
        <v>863</v>
      </c>
      <c r="E91" s="28"/>
      <c r="F91" s="28"/>
      <c r="G91" s="28"/>
    </row>
    <row r="92" customFormat="false" ht="15" hidden="false" customHeight="false" outlineLevel="0" collapsed="false">
      <c r="A92" s="27" t="s">
        <v>839</v>
      </c>
      <c r="B92" s="27" t="s">
        <v>864</v>
      </c>
      <c r="C92" s="29" t="s">
        <v>865</v>
      </c>
      <c r="D92" s="28" t="s">
        <v>866</v>
      </c>
      <c r="E92" s="28"/>
      <c r="F92" s="28"/>
      <c r="G92" s="28"/>
    </row>
    <row r="93" customFormat="false" ht="15" hidden="false" customHeight="false" outlineLevel="0" collapsed="false">
      <c r="A93" s="27" t="s">
        <v>839</v>
      </c>
      <c r="B93" s="27" t="s">
        <v>867</v>
      </c>
      <c r="C93" s="29" t="s">
        <v>868</v>
      </c>
      <c r="D93" s="28" t="s">
        <v>869</v>
      </c>
      <c r="E93" s="28"/>
      <c r="F93" s="28"/>
      <c r="G93" s="28"/>
    </row>
    <row r="94" customFormat="false" ht="15" hidden="false" customHeight="false" outlineLevel="0" collapsed="false">
      <c r="A94" s="27" t="s">
        <v>839</v>
      </c>
      <c r="B94" s="27" t="s">
        <v>870</v>
      </c>
      <c r="C94" s="29" t="s">
        <v>871</v>
      </c>
      <c r="D94" s="28" t="s">
        <v>872</v>
      </c>
      <c r="E94" s="28"/>
      <c r="F94" s="28"/>
      <c r="G94" s="28"/>
    </row>
    <row r="97" customFormat="false" ht="15" hidden="false" customHeight="false" outlineLevel="0" collapsed="false">
      <c r="A97" s="40" t="s">
        <v>873</v>
      </c>
    </row>
    <row r="98" customFormat="false" ht="15" hidden="false" customHeight="false" outlineLevel="0" collapsed="false">
      <c r="A98" s="5" t="s">
        <v>6</v>
      </c>
      <c r="B98" s="5" t="s">
        <v>874</v>
      </c>
      <c r="C98" s="5" t="s">
        <v>875</v>
      </c>
      <c r="D98" s="5" t="s">
        <v>405</v>
      </c>
      <c r="E98" s="5"/>
      <c r="F98" s="5"/>
      <c r="G98" s="5"/>
    </row>
    <row r="99" customFormat="false" ht="15" hidden="false" customHeight="false" outlineLevel="0" collapsed="false">
      <c r="A99" s="29" t="s">
        <v>876</v>
      </c>
      <c r="B99" s="27" t="s">
        <v>584</v>
      </c>
      <c r="C99" s="28" t="s">
        <v>877</v>
      </c>
      <c r="D99" s="28" t="s">
        <v>878</v>
      </c>
      <c r="E99" s="28"/>
      <c r="F99" s="28"/>
      <c r="G99" s="28"/>
    </row>
    <row r="100" customFormat="false" ht="23.85" hidden="false" customHeight="false" outlineLevel="0" collapsed="false">
      <c r="A100" s="29" t="s">
        <v>879</v>
      </c>
      <c r="B100" s="27" t="s">
        <v>624</v>
      </c>
      <c r="C100" s="28" t="s">
        <v>880</v>
      </c>
      <c r="D100" s="28" t="s">
        <v>881</v>
      </c>
      <c r="E100" s="28"/>
      <c r="F100" s="28"/>
      <c r="G100" s="28"/>
    </row>
    <row r="101" customFormat="false" ht="15" hidden="false" customHeight="false" outlineLevel="0" collapsed="false">
      <c r="A101" s="29" t="s">
        <v>882</v>
      </c>
      <c r="B101" s="27" t="s">
        <v>644</v>
      </c>
      <c r="C101" s="28" t="s">
        <v>883</v>
      </c>
      <c r="D101" s="28" t="s">
        <v>884</v>
      </c>
      <c r="E101" s="28"/>
      <c r="F101" s="28"/>
      <c r="G101" s="28"/>
    </row>
    <row r="102" customFormat="false" ht="23.85" hidden="false" customHeight="false" outlineLevel="0" collapsed="false">
      <c r="A102" s="29" t="s">
        <v>885</v>
      </c>
      <c r="B102" s="27" t="s">
        <v>653</v>
      </c>
      <c r="C102" s="28" t="s">
        <v>886</v>
      </c>
      <c r="D102" s="28" t="s">
        <v>887</v>
      </c>
      <c r="E102" s="28"/>
      <c r="F102" s="28"/>
      <c r="G102" s="28"/>
    </row>
    <row r="103" customFormat="false" ht="15" hidden="false" customHeight="false" outlineLevel="0" collapsed="false">
      <c r="A103" s="29" t="s">
        <v>888</v>
      </c>
      <c r="B103" s="27" t="s">
        <v>889</v>
      </c>
      <c r="C103" s="28" t="s">
        <v>890</v>
      </c>
      <c r="D103" s="28" t="s">
        <v>878</v>
      </c>
      <c r="E103" s="28"/>
      <c r="F103" s="28"/>
      <c r="G103" s="28"/>
    </row>
    <row r="106" customFormat="false" ht="15" hidden="false" customHeight="false" outlineLevel="0" collapsed="false">
      <c r="A106" s="40" t="s">
        <v>891</v>
      </c>
    </row>
    <row r="107" customFormat="false" ht="15" hidden="false" customHeight="false" outlineLevel="0" collapsed="false">
      <c r="A107" s="5" t="s">
        <v>892</v>
      </c>
      <c r="B107" s="5" t="s">
        <v>533</v>
      </c>
      <c r="C107" s="5" t="s">
        <v>893</v>
      </c>
      <c r="D107" s="5"/>
      <c r="E107" s="5"/>
      <c r="F107" s="5"/>
      <c r="G107" s="5"/>
    </row>
    <row r="108" customFormat="false" ht="35.05" hidden="false" customHeight="false" outlineLevel="0" collapsed="false">
      <c r="A108" s="29" t="s">
        <v>894</v>
      </c>
      <c r="B108" s="27" t="s">
        <v>895</v>
      </c>
      <c r="C108" s="28" t="s">
        <v>896</v>
      </c>
      <c r="D108" s="28"/>
      <c r="E108" s="28"/>
      <c r="F108" s="28"/>
      <c r="G108" s="28"/>
    </row>
    <row r="109" customFormat="false" ht="35.05" hidden="false" customHeight="false" outlineLevel="0" collapsed="false">
      <c r="A109" s="29" t="s">
        <v>897</v>
      </c>
      <c r="B109" s="27" t="s">
        <v>898</v>
      </c>
      <c r="C109" s="28" t="s">
        <v>899</v>
      </c>
      <c r="D109" s="28"/>
      <c r="E109" s="28"/>
      <c r="F109" s="28"/>
      <c r="G109" s="28"/>
    </row>
    <row r="110" customFormat="false" ht="35.05" hidden="false" customHeight="false" outlineLevel="0" collapsed="false">
      <c r="A110" s="29" t="s">
        <v>900</v>
      </c>
      <c r="B110" s="27" t="s">
        <v>901</v>
      </c>
      <c r="C110" s="28" t="s">
        <v>902</v>
      </c>
      <c r="D110" s="28"/>
      <c r="E110" s="28"/>
      <c r="F110" s="28"/>
      <c r="G110" s="28"/>
    </row>
    <row r="111" customFormat="false" ht="35.05" hidden="false" customHeight="false" outlineLevel="0" collapsed="false">
      <c r="A111" s="29" t="s">
        <v>903</v>
      </c>
      <c r="B111" s="27" t="s">
        <v>904</v>
      </c>
      <c r="C111" s="28" t="s">
        <v>905</v>
      </c>
      <c r="D111" s="28"/>
      <c r="E111" s="28"/>
      <c r="F111" s="28"/>
      <c r="G111" s="28"/>
    </row>
    <row r="112" customFormat="false" ht="23.85" hidden="false" customHeight="false" outlineLevel="0" collapsed="false">
      <c r="A112" s="29" t="s">
        <v>906</v>
      </c>
      <c r="B112" s="27" t="s">
        <v>612</v>
      </c>
      <c r="C112" s="28" t="s">
        <v>907</v>
      </c>
      <c r="D112" s="28"/>
      <c r="E112" s="28"/>
      <c r="F112" s="28"/>
      <c r="G112" s="28"/>
    </row>
    <row r="113" customFormat="false" ht="23.85" hidden="false" customHeight="false" outlineLevel="0" collapsed="false">
      <c r="A113" s="29" t="s">
        <v>908</v>
      </c>
      <c r="B113" s="27" t="s">
        <v>346</v>
      </c>
      <c r="C113" s="28" t="s">
        <v>909</v>
      </c>
      <c r="D113" s="28"/>
      <c r="E113" s="28"/>
      <c r="F113" s="28"/>
      <c r="G113" s="28"/>
    </row>
  </sheetData>
  <conditionalFormatting sqref="G8:G35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</conditionalFormatting>
  <conditionalFormatting sqref="G40:G52">
    <cfRule type="cellIs" priority="4" operator="equal" aboveAverage="0" equalAverage="0" bottom="0" percent="0" rank="0" text="" dxfId="0">
      <formula>"Done"</formula>
    </cfRule>
    <cfRule type="cellIs" priority="5" operator="equal" aboveAverage="0" equalAverage="0" bottom="0" percent="0" rank="0" text="" dxfId="1">
      <formula>"In progress"</formula>
    </cfRule>
  </conditionalFormatting>
  <conditionalFormatting sqref="G57:G73">
    <cfRule type="cellIs" priority="6" operator="equal" aboveAverage="0" equalAverage="0" bottom="0" percent="0" rank="0" text="" dxfId="0">
      <formula>"Done"</formula>
    </cfRule>
    <cfRule type="cellIs" priority="7" operator="equal" aboveAverage="0" equalAverage="0" bottom="0" percent="0" rank="0" text="" dxfId="1">
      <formula>"In progress"</formula>
    </cfRule>
  </conditionalFormatting>
  <dataValidations count="3">
    <dataValidation allowBlank="false" errorStyle="stop" operator="between" showDropDown="false" showErrorMessage="false" showInputMessage="false" sqref="G8:G35" type="list">
      <formula1>"Not started,In progress,Done"</formula1>
      <formula2>0</formula2>
    </dataValidation>
    <dataValidation allowBlank="false" errorStyle="stop" operator="between" showDropDown="false" showErrorMessage="false" showInputMessage="false" sqref="G40:G52" type="list">
      <formula1>"Not started,In progress,Done"</formula1>
      <formula2>0</formula2>
    </dataValidation>
    <dataValidation allowBlank="false" errorStyle="stop" operator="between" showDropDown="false" showErrorMessage="false" showInputMessage="false" sqref="G57:G73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62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1" t="s">
        <v>910</v>
      </c>
    </row>
    <row r="3" customFormat="false" ht="15" hidden="false" customHeight="false" outlineLevel="0" collapsed="false">
      <c r="A3" s="5" t="s">
        <v>911</v>
      </c>
      <c r="B3" s="5" t="s">
        <v>6</v>
      </c>
      <c r="C3" s="5" t="s">
        <v>912</v>
      </c>
      <c r="D3" s="5" t="s">
        <v>913</v>
      </c>
    </row>
    <row r="4" customFormat="false" ht="15" hidden="false" customHeight="false" outlineLevel="0" collapsed="false">
      <c r="A4" s="27" t="n">
        <v>1</v>
      </c>
      <c r="B4" s="28" t="s">
        <v>914</v>
      </c>
      <c r="C4" s="28" t="s">
        <v>915</v>
      </c>
      <c r="D4" s="27" t="s">
        <v>916</v>
      </c>
    </row>
    <row r="5" customFormat="false" ht="15" hidden="false" customHeight="false" outlineLevel="0" collapsed="false">
      <c r="A5" s="27" t="n">
        <v>2</v>
      </c>
      <c r="B5" s="28" t="s">
        <v>917</v>
      </c>
      <c r="C5" s="28" t="s">
        <v>918</v>
      </c>
      <c r="D5" s="27" t="s">
        <v>916</v>
      </c>
    </row>
    <row r="6" customFormat="false" ht="15" hidden="false" customHeight="false" outlineLevel="0" collapsed="false">
      <c r="A6" s="27" t="n">
        <v>3</v>
      </c>
      <c r="B6" s="28" t="s">
        <v>919</v>
      </c>
      <c r="C6" s="28" t="s">
        <v>920</v>
      </c>
      <c r="D6" s="27" t="s">
        <v>916</v>
      </c>
    </row>
    <row r="7" customFormat="false" ht="15" hidden="false" customHeight="false" outlineLevel="0" collapsed="false">
      <c r="A7" s="27" t="n">
        <v>4</v>
      </c>
      <c r="B7" s="28" t="s">
        <v>921</v>
      </c>
      <c r="C7" s="28" t="s">
        <v>922</v>
      </c>
      <c r="D7" s="27" t="s">
        <v>916</v>
      </c>
    </row>
    <row r="8" customFormat="false" ht="15" hidden="false" customHeight="false" outlineLevel="0" collapsed="false">
      <c r="A8" s="27" t="n">
        <v>5</v>
      </c>
      <c r="B8" s="28" t="s">
        <v>923</v>
      </c>
      <c r="C8" s="28" t="s">
        <v>924</v>
      </c>
      <c r="D8" s="27" t="s">
        <v>916</v>
      </c>
    </row>
    <row r="9" customFormat="false" ht="15" hidden="false" customHeight="false" outlineLevel="0" collapsed="false">
      <c r="A9" s="27" t="n">
        <v>6</v>
      </c>
      <c r="B9" s="28" t="s">
        <v>925</v>
      </c>
      <c r="C9" s="28" t="s">
        <v>926</v>
      </c>
      <c r="D9" s="27" t="s">
        <v>916</v>
      </c>
    </row>
    <row r="10" customFormat="false" ht="15" hidden="false" customHeight="false" outlineLevel="0" collapsed="false">
      <c r="A10" s="27" t="n">
        <v>7</v>
      </c>
      <c r="B10" s="28" t="s">
        <v>927</v>
      </c>
      <c r="C10" s="28" t="s">
        <v>928</v>
      </c>
      <c r="D10" s="27" t="s">
        <v>916</v>
      </c>
    </row>
    <row r="11" customFormat="false" ht="15" hidden="false" customHeight="false" outlineLevel="0" collapsed="false">
      <c r="A11" s="27" t="n">
        <v>8</v>
      </c>
      <c r="B11" s="28" t="s">
        <v>929</v>
      </c>
      <c r="C11" s="28" t="s">
        <v>930</v>
      </c>
      <c r="D11" s="27" t="s">
        <v>916</v>
      </c>
    </row>
    <row r="12" customFormat="false" ht="15" hidden="false" customHeight="false" outlineLevel="0" collapsed="false">
      <c r="A12" s="27" t="n">
        <v>9</v>
      </c>
      <c r="B12" s="28" t="s">
        <v>931</v>
      </c>
      <c r="C12" s="28" t="s">
        <v>932</v>
      </c>
      <c r="D12" s="27" t="s">
        <v>916</v>
      </c>
    </row>
    <row r="13" customFormat="false" ht="15" hidden="false" customHeight="false" outlineLevel="0" collapsed="false">
      <c r="A13" s="27" t="n">
        <v>10</v>
      </c>
      <c r="B13" s="28" t="s">
        <v>933</v>
      </c>
      <c r="C13" s="28" t="s">
        <v>934</v>
      </c>
      <c r="D13" s="27" t="s">
        <v>916</v>
      </c>
    </row>
    <row r="14" customFormat="false" ht="15" hidden="false" customHeight="false" outlineLevel="0" collapsed="false">
      <c r="A14" s="27" t="n">
        <v>11</v>
      </c>
      <c r="B14" s="28" t="s">
        <v>935</v>
      </c>
      <c r="C14" s="28" t="s">
        <v>936</v>
      </c>
      <c r="D14" s="27" t="s">
        <v>916</v>
      </c>
    </row>
    <row r="15" customFormat="false" ht="15" hidden="false" customHeight="false" outlineLevel="0" collapsed="false">
      <c r="A15" s="27" t="n">
        <v>12</v>
      </c>
      <c r="B15" s="28" t="s">
        <v>937</v>
      </c>
      <c r="C15" s="28" t="s">
        <v>938</v>
      </c>
      <c r="D15" s="27" t="s">
        <v>916</v>
      </c>
    </row>
    <row r="16" customFormat="false" ht="15" hidden="false" customHeight="false" outlineLevel="0" collapsed="false">
      <c r="A16" s="27" t="n">
        <v>13</v>
      </c>
      <c r="B16" s="28" t="s">
        <v>939</v>
      </c>
      <c r="C16" s="28" t="s">
        <v>940</v>
      </c>
      <c r="D16" s="27" t="s">
        <v>916</v>
      </c>
    </row>
    <row r="17" customFormat="false" ht="15" hidden="false" customHeight="false" outlineLevel="0" collapsed="false">
      <c r="A17" s="27" t="n">
        <v>14</v>
      </c>
      <c r="B17" s="28" t="s">
        <v>107</v>
      </c>
      <c r="C17" s="28" t="s">
        <v>941</v>
      </c>
      <c r="D17" s="27" t="s">
        <v>916</v>
      </c>
    </row>
    <row r="18" customFormat="false" ht="15" hidden="false" customHeight="false" outlineLevel="0" collapsed="false">
      <c r="A18" s="27" t="n">
        <v>15</v>
      </c>
      <c r="B18" s="28" t="s">
        <v>942</v>
      </c>
      <c r="C18" s="28" t="s">
        <v>943</v>
      </c>
      <c r="D18" s="27" t="s">
        <v>916</v>
      </c>
    </row>
    <row r="19" customFormat="false" ht="15" hidden="false" customHeight="false" outlineLevel="0" collapsed="false">
      <c r="A19" s="27" t="n">
        <v>16</v>
      </c>
      <c r="B19" s="28" t="s">
        <v>869</v>
      </c>
      <c r="C19" s="28" t="s">
        <v>944</v>
      </c>
      <c r="D19" s="27" t="s">
        <v>916</v>
      </c>
    </row>
    <row r="20" customFormat="false" ht="15" hidden="false" customHeight="false" outlineLevel="0" collapsed="false">
      <c r="A20" s="27" t="n">
        <v>17</v>
      </c>
      <c r="B20" s="28" t="s">
        <v>945</v>
      </c>
      <c r="C20" s="28" t="s">
        <v>946</v>
      </c>
      <c r="D20" s="27" t="s">
        <v>916</v>
      </c>
    </row>
    <row r="21" customFormat="false" ht="15" hidden="false" customHeight="false" outlineLevel="0" collapsed="false">
      <c r="A21" s="27" t="n">
        <v>18</v>
      </c>
      <c r="B21" s="28" t="s">
        <v>947</v>
      </c>
      <c r="C21" s="28" t="s">
        <v>948</v>
      </c>
      <c r="D21" s="27" t="s">
        <v>916</v>
      </c>
    </row>
    <row r="22" customFormat="false" ht="15" hidden="false" customHeight="false" outlineLevel="0" collapsed="false">
      <c r="A22" s="27" t="n">
        <v>19</v>
      </c>
      <c r="B22" s="28" t="s">
        <v>949</v>
      </c>
      <c r="C22" s="28" t="s">
        <v>950</v>
      </c>
      <c r="D22" s="27" t="s">
        <v>916</v>
      </c>
    </row>
    <row r="23" customFormat="false" ht="15" hidden="false" customHeight="false" outlineLevel="0" collapsed="false">
      <c r="A23" s="27" t="n">
        <v>20</v>
      </c>
      <c r="B23" s="28" t="s">
        <v>951</v>
      </c>
      <c r="C23" s="28" t="s">
        <v>952</v>
      </c>
      <c r="D23" s="27" t="s">
        <v>916</v>
      </c>
    </row>
    <row r="25" customFormat="false" ht="15" hidden="false" customHeight="false" outlineLevel="0" collapsed="false">
      <c r="B25" s="2" t="s">
        <v>953</v>
      </c>
      <c r="C25" s="2" t="str">
        <f aca="false">COUNTIF(D4:D23,"Yes")&amp;" of "&amp;COUNTA(B4:B23)</f>
        <v>0 of 20</v>
      </c>
    </row>
  </sheetData>
  <conditionalFormatting sqref="D4:D23">
    <cfRule type="cellIs" priority="2" operator="equal" aboveAverage="0" equalAverage="0" bottom="0" percent="0" rank="0" text="" dxfId="0">
      <formula>"Yes"</formula>
    </cfRule>
  </conditionalFormatting>
  <dataValidations count="1">
    <dataValidation allowBlank="false" errorStyle="stop" operator="between" showDropDown="false" showErrorMessage="false" showInputMessage="false" sqref="D4:D23" type="list">
      <formula1>"No,Partly,Yes"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2026-10-24T08:22:28Z</dcterms:created>
  <dc:creator>openpyxl</dc:creator>
  <dc:description/>
  <dc:language>en-US</dc:language>
  <cp:lastModifiedBy/>
  <dcterms:modified xsi:type="dcterms:W3CDTF">2026-10-24T08:22:29Z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